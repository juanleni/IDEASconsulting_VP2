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RHH\Documents\IDEAS\"/>
    </mc:Choice>
  </mc:AlternateContent>
  <bookViews>
    <workbookView xWindow="0" yWindow="0" windowWidth="20490" windowHeight="7650" activeTab="1"/>
  </bookViews>
  <sheets>
    <sheet name="INSTRUCCIONES" sheetId="1" r:id="rId1"/>
    <sheet name="DIAGNOSTICO" sheetId="2" r:id="rId2"/>
    <sheet name="SCORING Y RESULTADOS" sheetId="3" r:id="rId3"/>
    <sheet name="DASHBOARD" sheetId="4" r:id="rId4"/>
    <sheet name="CRITERIOS DE EVALUACION" sheetId="5" r:id="rId5"/>
  </sheets>
  <calcPr calcId="162913"/>
  <fileRecoveryPr repairLoad="1"/>
</workbook>
</file>

<file path=xl/calcChain.xml><?xml version="1.0" encoding="utf-8"?>
<calcChain xmlns="http://schemas.openxmlformats.org/spreadsheetml/2006/main">
  <c r="A36" i="4" l="1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B20" i="3"/>
  <c r="A39" i="4" s="1"/>
  <c r="F16" i="3"/>
  <c r="G16" i="3" s="1"/>
  <c r="B16" i="3"/>
  <c r="E16" i="3" s="1"/>
  <c r="C36" i="4" s="1"/>
  <c r="F15" i="3"/>
  <c r="G15" i="3" s="1"/>
  <c r="B15" i="3"/>
  <c r="B35" i="4" s="1"/>
  <c r="F14" i="3"/>
  <c r="G14" i="3" s="1"/>
  <c r="B14" i="3"/>
  <c r="B34" i="4" s="1"/>
  <c r="F13" i="3"/>
  <c r="G13" i="3" s="1"/>
  <c r="B13" i="3"/>
  <c r="E13" i="3" s="1"/>
  <c r="C33" i="4" s="1"/>
  <c r="F12" i="3"/>
  <c r="G12" i="3" s="1"/>
  <c r="E12" i="3"/>
  <c r="C32" i="4" s="1"/>
  <c r="B12" i="3"/>
  <c r="B32" i="4" s="1"/>
  <c r="F11" i="3"/>
  <c r="G11" i="3" s="1"/>
  <c r="B11" i="3"/>
  <c r="B31" i="4" s="1"/>
  <c r="F10" i="3"/>
  <c r="G10" i="3" s="1"/>
  <c r="B10" i="3"/>
  <c r="B30" i="4" s="1"/>
  <c r="F9" i="3"/>
  <c r="G9" i="3" s="1"/>
  <c r="E9" i="3"/>
  <c r="C29" i="4" s="1"/>
  <c r="B9" i="3"/>
  <c r="B29" i="4" s="1"/>
  <c r="F8" i="3"/>
  <c r="G8" i="3" s="1"/>
  <c r="E8" i="3"/>
  <c r="C28" i="4" s="1"/>
  <c r="B8" i="3"/>
  <c r="B28" i="4" s="1"/>
  <c r="F7" i="3"/>
  <c r="G7" i="3" s="1"/>
  <c r="B7" i="3"/>
  <c r="B27" i="4" s="1"/>
  <c r="F6" i="3"/>
  <c r="G6" i="3" s="1"/>
  <c r="B6" i="3"/>
  <c r="B26" i="4" s="1"/>
  <c r="F5" i="3"/>
  <c r="G5" i="3" s="1"/>
  <c r="B5" i="3"/>
  <c r="B25" i="4" s="1"/>
  <c r="F4" i="3"/>
  <c r="G4" i="3" s="1"/>
  <c r="B4" i="3"/>
  <c r="B24" i="4" s="1"/>
  <c r="F3" i="3"/>
  <c r="B3" i="3"/>
  <c r="B23" i="4" s="1"/>
  <c r="B22" i="3" l="1"/>
  <c r="D10" i="3"/>
  <c r="D4" i="3"/>
  <c r="D5" i="3"/>
  <c r="E4" i="3"/>
  <c r="C24" i="4" s="1"/>
  <c r="D8" i="3"/>
  <c r="D9" i="3"/>
  <c r="D12" i="3"/>
  <c r="D13" i="3"/>
  <c r="G3" i="4"/>
  <c r="E5" i="3"/>
  <c r="C25" i="4" s="1"/>
  <c r="D6" i="3"/>
  <c r="D3" i="3"/>
  <c r="E6" i="3"/>
  <c r="C26" i="4" s="1"/>
  <c r="D7" i="3"/>
  <c r="E10" i="3"/>
  <c r="C30" i="4" s="1"/>
  <c r="D11" i="3"/>
  <c r="E14" i="3"/>
  <c r="C34" i="4" s="1"/>
  <c r="D15" i="3"/>
  <c r="B27" i="3"/>
  <c r="J3" i="4" s="1"/>
  <c r="B33" i="4"/>
  <c r="G3" i="3"/>
  <c r="E3" i="3"/>
  <c r="C23" i="4" s="1"/>
  <c r="E7" i="3"/>
  <c r="C27" i="4" s="1"/>
  <c r="E11" i="3"/>
  <c r="C31" i="4" s="1"/>
  <c r="E15" i="3"/>
  <c r="C35" i="4" s="1"/>
  <c r="D16" i="3"/>
  <c r="B36" i="4"/>
  <c r="B21" i="3"/>
  <c r="D14" i="3"/>
  <c r="B26" i="3"/>
  <c r="D3" i="4" s="1"/>
  <c r="B23" i="3" l="1"/>
  <c r="B24" i="3" s="1"/>
  <c r="B25" i="3" s="1"/>
  <c r="A3" i="4" s="1"/>
</calcChain>
</file>

<file path=xl/comments1.xml><?xml version="1.0" encoding="utf-8"?>
<comments xmlns="http://schemas.openxmlformats.org/spreadsheetml/2006/main">
  <authors>
    <author>OpenAI</author>
  </authors>
  <commentList>
    <comment ref="H1" authorId="0" shapeId="0">
      <text>
        <r>
          <rPr>
            <sz val="11"/>
            <color theme="1"/>
            <rFont val="Calibri"/>
            <family val="2"/>
            <scheme val="minor"/>
          </rPr>
          <t>Ingresar un valor entre 0 y 4.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Usar V=Verbal, D=Documento, R=Registro, S=Sistema.</t>
        </r>
      </text>
    </comment>
  </commentList>
</comments>
</file>

<file path=xl/sharedStrings.xml><?xml version="1.0" encoding="utf-8"?>
<sst xmlns="http://schemas.openxmlformats.org/spreadsheetml/2006/main" count="1033" uniqueCount="314">
  <si>
    <t>Diagnóstico Integral IDEAS – Guía de uso</t>
  </si>
  <si>
    <t>Objetivo</t>
  </si>
  <si>
    <t>Diagnosticar el nivel de madurez de la empresa para identificar brechas, riesgos y oportunidades de servicio para IDEAS.</t>
  </si>
  <si>
    <t>Cómo usar</t>
  </si>
  <si>
    <t>Completar la hoja DIAGNOSTICO. En PUNTAJE sólo se permite 0, 1, 2, 3 o 4. La hoja SCORING Y RESULTADOS y el DASHBOARD se actualizan automáticamente.</t>
  </si>
  <si>
    <t>Tiempo sugerido</t>
  </si>
  <si>
    <t>3 a 4 horas de entrevista con referentes de cada área.</t>
  </si>
  <si>
    <t>Interpretación del puntaje</t>
  </si>
  <si>
    <t>0 = Inexistente | 1 = Inicial | 2 = Parcial | 3 = Implementado | 4 = Estandarizado</t>
  </si>
  <si>
    <t>Regla de evidencia</t>
  </si>
  <si>
    <t>Si la empresa dice que lo hace pero no muestra evidencia, no debería superar 2 puntos.</t>
  </si>
  <si>
    <t>Críticas</t>
  </si>
  <si>
    <t>Las preguntas marcadas como CRÍTICA = SI impactan el score ajustado si obtienen puntaje menor a 2.</t>
  </si>
  <si>
    <t>Escala de evaluación</t>
  </si>
  <si>
    <t>ESCALA</t>
  </si>
  <si>
    <t>NIVEL</t>
  </si>
  <si>
    <t>DESCRIPCIÓN GENERAL</t>
  </si>
  <si>
    <t>CRITERIO DOCUMENTAL</t>
  </si>
  <si>
    <t>CRITERIO OPERATIVO</t>
  </si>
  <si>
    <t>CRITERIO DE CONTROL</t>
  </si>
  <si>
    <t>RIESGO SI ES CRÍTICA</t>
  </si>
  <si>
    <t>Inexistente</t>
  </si>
  <si>
    <t>No existe práctica formal ni evidencia</t>
  </si>
  <si>
    <t>No hay documento ni registro</t>
  </si>
  <si>
    <t>No se realiza la actividad</t>
  </si>
  <si>
    <t>No existe medición ni control</t>
  </si>
  <si>
    <t>Riesgo Muy Alto</t>
  </si>
  <si>
    <t>Inicial</t>
  </si>
  <si>
    <t>Existe informalmente o depende de personas</t>
  </si>
  <si>
    <t>Puede haber información verbal o documento aislado</t>
  </si>
  <si>
    <t>Se realiza ocasionalmente sin sistemática</t>
  </si>
  <si>
    <t>No se mide ni analiza</t>
  </si>
  <si>
    <t>Riesgo Alto</t>
  </si>
  <si>
    <t>Parcial</t>
  </si>
  <si>
    <t>Existe definido pero se aplica de forma inconsistente</t>
  </si>
  <si>
    <t>Hay documento pero no siempre actualizado</t>
  </si>
  <si>
    <t>Se ejecuta parcialmente o sin disciplina</t>
  </si>
  <si>
    <t>Se controla de manera reactiva</t>
  </si>
  <si>
    <t>Riesgo Medio</t>
  </si>
  <si>
    <t>Implementado</t>
  </si>
  <si>
    <t>Está definido y se aplica regularmente</t>
  </si>
  <si>
    <t>Documentación vigente disponible</t>
  </si>
  <si>
    <t>Se ejecuta de manera sistemática</t>
  </si>
  <si>
    <t>Se registran resultados y se analizan</t>
  </si>
  <si>
    <t>Riesgo Bajo</t>
  </si>
  <si>
    <t>Estandarizado</t>
  </si>
  <si>
    <t>Está sistematizado y mejora continuamente</t>
  </si>
  <si>
    <t>Documentado, controlado y actualizado</t>
  </si>
  <si>
    <t>Se aplica consistentemente en toda la organización</t>
  </si>
  <si>
    <t>Se mide, analiza y mejora con indicadores</t>
  </si>
  <si>
    <t>Riesgo Muy Bajo</t>
  </si>
  <si>
    <t>EJE</t>
  </si>
  <si>
    <t>AREA</t>
  </si>
  <si>
    <t>CODIGO</t>
  </si>
  <si>
    <t>TIPO</t>
  </si>
  <si>
    <t>CRITICA</t>
  </si>
  <si>
    <t>PREGUNTA</t>
  </si>
  <si>
    <t>RESPONSABLE</t>
  </si>
  <si>
    <t>PUNTAJE (0-4)</t>
  </si>
  <si>
    <t>EVIDENCIA</t>
  </si>
  <si>
    <t>OBSERVACIONES IDEAS</t>
  </si>
  <si>
    <t>Dirección y Estrategia</t>
  </si>
  <si>
    <t>Dirección</t>
  </si>
  <si>
    <t>D-01</t>
  </si>
  <si>
    <t>C</t>
  </si>
  <si>
    <t>SI</t>
  </si>
  <si>
    <t/>
  </si>
  <si>
    <t>D-02</t>
  </si>
  <si>
    <t>D-03</t>
  </si>
  <si>
    <t>NO</t>
  </si>
  <si>
    <t>D-04</t>
  </si>
  <si>
    <t>P</t>
  </si>
  <si>
    <t>D-05</t>
  </si>
  <si>
    <t>D-06</t>
  </si>
  <si>
    <t>Organización</t>
  </si>
  <si>
    <t>Estructura</t>
  </si>
  <si>
    <t>O-01</t>
  </si>
  <si>
    <t>O-02</t>
  </si>
  <si>
    <t>O-03</t>
  </si>
  <si>
    <t>O-04</t>
  </si>
  <si>
    <t>O-05</t>
  </si>
  <si>
    <t>Mapa de Procesos</t>
  </si>
  <si>
    <t>Procesos</t>
  </si>
  <si>
    <t>MP-01</t>
  </si>
  <si>
    <t>MP-02</t>
  </si>
  <si>
    <t>MP-03</t>
  </si>
  <si>
    <t>MP-04</t>
  </si>
  <si>
    <t>MP-05</t>
  </si>
  <si>
    <t>Producción</t>
  </si>
  <si>
    <t>Operaciones</t>
  </si>
  <si>
    <t>PR-01</t>
  </si>
  <si>
    <t>PR-02</t>
  </si>
  <si>
    <t>PR-03</t>
  </si>
  <si>
    <t>PR-04</t>
  </si>
  <si>
    <t>PR-05</t>
  </si>
  <si>
    <t>PR-06</t>
  </si>
  <si>
    <t>PR-07</t>
  </si>
  <si>
    <t>PR-08</t>
  </si>
  <si>
    <t>PR-09</t>
  </si>
  <si>
    <t>Mantenimiento</t>
  </si>
  <si>
    <t>MA-01</t>
  </si>
  <si>
    <t>MA-02</t>
  </si>
  <si>
    <t>MA-03</t>
  </si>
  <si>
    <t>MA-04</t>
  </si>
  <si>
    <t>MA-05</t>
  </si>
  <si>
    <t>MA-06</t>
  </si>
  <si>
    <t>Calidad</t>
  </si>
  <si>
    <t>Sistema</t>
  </si>
  <si>
    <t>CA-01</t>
  </si>
  <si>
    <t>CA-02</t>
  </si>
  <si>
    <t>CA-03</t>
  </si>
  <si>
    <t>CA-04</t>
  </si>
  <si>
    <t>CA-05</t>
  </si>
  <si>
    <t>CA-06</t>
  </si>
  <si>
    <t>CA-07</t>
  </si>
  <si>
    <t>Compras</t>
  </si>
  <si>
    <t>Abastecimiento</t>
  </si>
  <si>
    <t>CO-01</t>
  </si>
  <si>
    <t>CO-02</t>
  </si>
  <si>
    <t>CO-03</t>
  </si>
  <si>
    <t>CO-04</t>
  </si>
  <si>
    <t>CO-05</t>
  </si>
  <si>
    <t>Comercial</t>
  </si>
  <si>
    <t>Ventas</t>
  </si>
  <si>
    <t>CM-01</t>
  </si>
  <si>
    <t>CM-02</t>
  </si>
  <si>
    <t>CM-03</t>
  </si>
  <si>
    <t>CM-04</t>
  </si>
  <si>
    <t>Finanzas</t>
  </si>
  <si>
    <t>Gestión</t>
  </si>
  <si>
    <t>FI-01</t>
  </si>
  <si>
    <t>FI-02</t>
  </si>
  <si>
    <t>FI-03</t>
  </si>
  <si>
    <t>FI-04</t>
  </si>
  <si>
    <t>FI-05</t>
  </si>
  <si>
    <t>FI-06</t>
  </si>
  <si>
    <t>FI-07</t>
  </si>
  <si>
    <t>Seguridad y Salud</t>
  </si>
  <si>
    <t>EHS</t>
  </si>
  <si>
    <t>SS-01</t>
  </si>
  <si>
    <t>SS-02</t>
  </si>
  <si>
    <t>SS-03</t>
  </si>
  <si>
    <t>SS-04</t>
  </si>
  <si>
    <t>SS-05</t>
  </si>
  <si>
    <t>SS-06</t>
  </si>
  <si>
    <t>Ambiental</t>
  </si>
  <si>
    <t>AM-01</t>
  </si>
  <si>
    <t>AM-02</t>
  </si>
  <si>
    <t>AM-03</t>
  </si>
  <si>
    <t>AM-04</t>
  </si>
  <si>
    <t>AM-05</t>
  </si>
  <si>
    <t>AM-06</t>
  </si>
  <si>
    <t>Riesgos y Continuidad</t>
  </si>
  <si>
    <t>RC-01</t>
  </si>
  <si>
    <t>RC-02</t>
  </si>
  <si>
    <t>RC-03</t>
  </si>
  <si>
    <t>RC-04</t>
  </si>
  <si>
    <t>RC-05</t>
  </si>
  <si>
    <t>Cultura y Madurez</t>
  </si>
  <si>
    <t>CU-01</t>
  </si>
  <si>
    <t>CU-02</t>
  </si>
  <si>
    <t>CU-03</t>
  </si>
  <si>
    <t>CU-04</t>
  </si>
  <si>
    <t>CU-05</t>
  </si>
  <si>
    <t>Logística y Almacenes</t>
  </si>
  <si>
    <t>Logística</t>
  </si>
  <si>
    <t>LO-01</t>
  </si>
  <si>
    <t>LO-02</t>
  </si>
  <si>
    <t>LO-03</t>
  </si>
  <si>
    <t>LO-04</t>
  </si>
  <si>
    <t>LO-05</t>
  </si>
  <si>
    <t>LO-06</t>
  </si>
  <si>
    <t>LO-07</t>
  </si>
  <si>
    <t>LO-08</t>
  </si>
  <si>
    <t>LO-09</t>
  </si>
  <si>
    <t>LO-10</t>
  </si>
  <si>
    <t>Scoring por eje</t>
  </si>
  <si>
    <t>PROMEDIO EJE</t>
  </si>
  <si>
    <t>PESO %</t>
  </si>
  <si>
    <t>SCORE PONDERADO</t>
  </si>
  <si>
    <t>BRECHA %</t>
  </si>
  <si>
    <t>CRÍTICAS &lt;2</t>
  </si>
  <si>
    <t>ALERTA</t>
  </si>
  <si>
    <t>INDICADOR GLOBAL</t>
  </si>
  <si>
    <t>VALOR</t>
  </si>
  <si>
    <t>Preguntas Respondidas</t>
  </si>
  <si>
    <t>Avance de carga %</t>
  </si>
  <si>
    <t>Cantidad Total Críticas &lt;2</t>
  </si>
  <si>
    <t>Score Global (0-4)</t>
  </si>
  <si>
    <t>Score Global %</t>
  </si>
  <si>
    <t>Score Ajustado %</t>
  </si>
  <si>
    <t>Nivel Global</t>
  </si>
  <si>
    <t>Semáforo</t>
  </si>
  <si>
    <t>Dashboard Ejecutivo – Diagnóstico Integral IDEAS</t>
  </si>
  <si>
    <t>Críticas Activas</t>
  </si>
  <si>
    <t>PROMEDIO</t>
  </si>
  <si>
    <t>Conclusión ejecutiva</t>
  </si>
  <si>
    <t>Comentarios del consultor</t>
  </si>
  <si>
    <t>DESCRIPCION GENERAL</t>
  </si>
  <si>
    <t>NIVEL DE RIESGO (SI ES CRITICA)</t>
  </si>
  <si>
    <t>PUNTAJE OBTENIDO</t>
  </si>
  <si>
    <t>NIVEL DE ALERTA</t>
  </si>
  <si>
    <t>ACCION RECOMENDADA</t>
  </si>
  <si>
    <t>Alerta Roja</t>
  </si>
  <si>
    <t>Intervención inmediata requerida</t>
  </si>
  <si>
    <t>Plan de acción prioritario (0-90 días)</t>
  </si>
  <si>
    <t>Plan de mejora estructurado</t>
  </si>
  <si>
    <t>Controlado</t>
  </si>
  <si>
    <t>Seguimiento periódico</t>
  </si>
  <si>
    <t>Óptimo</t>
  </si>
  <si>
    <t>Mantener y mejorar</t>
  </si>
  <si>
    <t>PROMEDIO POR EJE</t>
  </si>
  <si>
    <t>NIVEL DE MADUREZ</t>
  </si>
  <si>
    <t>INTERPRETACION</t>
  </si>
  <si>
    <t>0 - 1.4</t>
  </si>
  <si>
    <t>Crítico</t>
  </si>
  <si>
    <t>Sistema inexistente o fuera de control</t>
  </si>
  <si>
    <t>1.5 - 2.4</t>
  </si>
  <si>
    <t>Básico</t>
  </si>
  <si>
    <t>Gestión reactiva y poco estructurada</t>
  </si>
  <si>
    <t>2.5 - 3.2</t>
  </si>
  <si>
    <t>Intermedio</t>
  </si>
  <si>
    <t>Gestión definida pero con oportunidades claras</t>
  </si>
  <si>
    <t>3.3 - 3.7</t>
  </si>
  <si>
    <t>Gestión estable y predecible</t>
  </si>
  <si>
    <t>3.8 - 4.0</t>
  </si>
  <si>
    <t>Robusto</t>
  </si>
  <si>
    <t>Gestión madura y optimizada</t>
  </si>
  <si>
    <t>¿Existe una planificación anual formal definida por la dirección?</t>
  </si>
  <si>
    <t>¿Se realiza un seguimiento periódico de los resultados del negocio?</t>
  </si>
  <si>
    <t>¿Se identifican y analizan los riesgos principales del negocio?</t>
  </si>
  <si>
    <t>¿Existe un plan estratégico a mediano plazo (2–3 años)?</t>
  </si>
  <si>
    <t>¿Las decisiones se toman en base a indicadores o datos concretos?</t>
  </si>
  <si>
    <t>¿Se realiza una revisión estructurada de la gestión (tipo comité o dirección)?</t>
  </si>
  <si>
    <t>¿Existe un organigrama formal y actualizado?</t>
  </si>
  <si>
    <t>¿Existe un mapa de procesos formal de la organización?</t>
  </si>
  <si>
    <t>¿Están identificados los procesos clave (estratégicos, operativos y soporte)?</t>
  </si>
  <si>
    <t>¿Cada proceso tiene un responsable asignado?</t>
  </si>
  <si>
    <t>¿Existen indicadores definidos para cada proceso?</t>
  </si>
  <si>
    <t>¿Se analizan desvíos y resultados por proceso?</t>
  </si>
  <si>
    <t>¿Están claramente definidas las responsabilidades de cada puesto?</t>
  </si>
  <si>
    <t>¿Existen descripciones de puesto documentadas?</t>
  </si>
  <si>
    <t>¿Está definida la autoridad y toma de decisiones en cada nivel?</t>
  </si>
  <si>
    <t>¿Se realizan reuniones de gestión con agenda y seguimiento?</t>
  </si>
  <si>
    <t>¿Existe una planificación formal de la producción?</t>
  </si>
  <si>
    <t>¿Existen instrucciones de trabajo claras para las operaciones?</t>
  </si>
  <si>
    <t>¿Se registran los desperdicios o scrap generado?</t>
  </si>
  <si>
    <t>¿Se mide la eficiencia productiva (ej: rendimiento, productividad)?</t>
  </si>
  <si>
    <t>¿Existe trazabilidad de los productos o procesos?</t>
  </si>
  <si>
    <t>¿Se gestionan formalmente los cambios de proceso o ingeniería?</t>
  </si>
  <si>
    <t>¿Se miden los tiempos de ciclo de producción?</t>
  </si>
  <si>
    <t>¿Se analizan cuellos de botella en el proceso?</t>
  </si>
  <si>
    <t>¿Se analiza la capacidad instalada vs la utilizada?</t>
  </si>
  <si>
    <t>¿Existe un plan de mantenimiento preventivo definido?</t>
  </si>
  <si>
    <t>¿Se ejecuta el mantenimiento según lo planificado?</t>
  </si>
  <si>
    <t>¿Se registran las fallas de los equipos?</t>
  </si>
  <si>
    <t>¿Se analizan las causas de fallas repetitivas?</t>
  </si>
  <si>
    <t>¿Se miden indicadores de mantenimiento (MTTR, MTBF u otros)?</t>
  </si>
  <si>
    <t>¿Se gestionan los repuestos críticos de forma controlada?</t>
  </si>
  <si>
    <t>¿Se registran los reclamos de clientes?</t>
  </si>
  <si>
    <t>¿Existe control sobre los productos no conformes?</t>
  </si>
  <si>
    <t>¿Se realiza análisis de causa raíz ante problemas?</t>
  </si>
  <si>
    <t>¿Se implementan y siguen acciones correctivas?</t>
  </si>
  <si>
    <t>¿Se realizan auditorías internas?</t>
  </si>
  <si>
    <t>¿Se mide el nivel de defectos (PPM u otro indicador)?</t>
  </si>
  <si>
    <t>¿Se calcula el costo de la no calidad?</t>
  </si>
  <si>
    <t>¿Se evalúan los proveedores de forma sistemática?</t>
  </si>
  <si>
    <t>¿Existe un proceso de homologación de proveedores?</t>
  </si>
  <si>
    <t>¿Se mide el desempeño de los proveedores?</t>
  </si>
  <si>
    <t>¿Se analizan variaciones de precio y calidad?</t>
  </si>
  <si>
    <t>¿Existen contratos o acuerdos formales con proveedores?</t>
  </si>
  <si>
    <t>¿Se mide el cumplimiento de entregas al cliente?</t>
  </si>
  <si>
    <t>¿Se registran oportunidades comerciales perdidas?</t>
  </si>
  <si>
    <t>¿Se analiza la rentabilidad por cliente?</t>
  </si>
  <si>
    <t>¿Existe un plan comercial definido?</t>
  </si>
  <si>
    <t>¿Existe un presupuesto anual formal?</t>
  </si>
  <si>
    <t>¿Se analizan los desvíos entre lo planificado y lo real?</t>
  </si>
  <si>
    <t>¿Se conoce el costo real de los productos?</t>
  </si>
  <si>
    <t>¿Se analiza el margen por cliente?</t>
  </si>
  <si>
    <t>¿Se mide el impacto económico del scrap o desperdicio?</t>
  </si>
  <si>
    <t>¿Se evalúan inversiones en base a retorno (ROI)?</t>
  </si>
  <si>
    <t>¿Existe proyección de flujo de caja?</t>
  </si>
  <si>
    <t>¿Existe una matriz de riesgos laborales?</t>
  </si>
  <si>
    <t>¿Se entregan y controlan los elementos de protección personal (EPP)?</t>
  </si>
  <si>
    <t>¿Se investigan los accidentes laborales?</t>
  </si>
  <si>
    <t>¿Se realizan capacitaciones en seguridad?</t>
  </si>
  <si>
    <t>¿Se miden indicadores de seguridad (frecuencia, severidad)?</t>
  </si>
  <si>
    <t>¿Existe un programa preventivo de seguridad?</t>
  </si>
  <si>
    <t>¿Se gestionan los residuos de forma controlada?</t>
  </si>
  <si>
    <t>¿Existe segregación de residuos?</t>
  </si>
  <si>
    <t>¿Se cumple con la normativa ambiental vigente?</t>
  </si>
  <si>
    <t>¿Se identifican aspectos e impactos ambientales?</t>
  </si>
  <si>
    <t>¿Se controlan los consumos de energía y recursos?</t>
  </si>
  <si>
    <t>¿Existen iniciativas de reducción de impacto ambiental?</t>
  </si>
  <si>
    <t>¿Existe control formal de inventarios?</t>
  </si>
  <si>
    <t>¿Se realizan inventarios periódicos?</t>
  </si>
  <si>
    <t>¿Existe trazabilidad de materiales?</t>
  </si>
  <si>
    <t>¿Se mide el cumplimiento de entregas (OTIF)?</t>
  </si>
  <si>
    <t>¿Existe orden y ubicación definida en almacenes?</t>
  </si>
  <si>
    <t>¿Se analiza la rotación de inventarios?</t>
  </si>
  <si>
    <t>¿Se controlan quiebres de stock?</t>
  </si>
  <si>
    <t>¿Se analiza el costo logístico?</t>
  </si>
  <si>
    <t>¿Se definen niveles óptimos de stock?</t>
  </si>
  <si>
    <t>¿Existe planificación de abastecimiento alineada a producción?</t>
  </si>
  <si>
    <t>¿Existe un plan de contingencia ante eventos críticos?</t>
  </si>
  <si>
    <t>¿Se identifican dependencias críticas (clientes, proveedores, procesos)?</t>
  </si>
  <si>
    <t>¿Existe un plan de continuidad operativa?</t>
  </si>
  <si>
    <t>¿Se realiza respaldo de la información crítica?</t>
  </si>
  <si>
    <t>¿Se evalúan riesgos legales o regulatorios?</t>
  </si>
  <si>
    <t>¿Existe una cultura de mejora continua en la organización?</t>
  </si>
  <si>
    <t>¿El personal participa en propuestas de mejora?</t>
  </si>
  <si>
    <t>¿Se comunican los resultados de la empresa al equipo?</t>
  </si>
  <si>
    <t>¿Se reconocen logros o desempeños destacados?</t>
  </si>
  <si>
    <t>¿Las decisiones se basan en datos y no solo en experiencia?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</si>
</sst>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666666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20"/>
      <name val="Calibri"/>
    </font>
    <font>
      <b/>
      <sz val="18"/>
      <name val="Calibri"/>
    </font>
    <font>
      <b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AF3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F0F0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top"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8" borderId="0" xfId="0" applyFont="1" applyFill="1"/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" fontId="6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5" fillId="2" borderId="0" xfId="0" applyFont="1" applyFill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7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 wrapText="1"/>
    </xf>
  </cellXfs>
  <cellStyles count="1"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987bc6dae9b54bc0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26</xdr:row>
      <xdr:rowOff>333375</xdr:rowOff>
    </xdr:to>
    <xdr:sp macro="" textlink="">
      <xdr:nvSpPr>
        <xdr:cNvPr id="1027" name="Text Box 3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51D0835A-01C9-2622-5995-B330B20EB10C}"/>
</xltc:personList>
</file>

<file path=xl/tables/table1.xml><?xml version="1.0" encoding="utf-8"?>
<table xmlns="http://schemas.openxmlformats.org/spreadsheetml/2006/main" id="1" name="tblDiagnostico" displayName="tblDiagnostico" ref="A1:J87">
  <autoFilter ref="A1:J87"/>
  <tableColumns count="10">
    <tableColumn id="1" name="EJE"/>
    <tableColumn id="2" name="AREA"/>
    <tableColumn id="3" name="CODIGO"/>
    <tableColumn id="4" name="TIPO"/>
    <tableColumn id="5" name="CRITICA"/>
    <tableColumn id="6" name="PREGUNTA"/>
    <tableColumn id="7" name="RESPONSABLE"/>
    <tableColumn id="8" name="PUNTAJE (0-4)"/>
    <tableColumn id="9" name="EVIDENCIA"/>
    <tableColumn id="10" name="OBSERVACIONES IDE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coring" displayName="tblScoring" ref="A2:G16">
  <autoFilter ref="A2:G16"/>
  <tableColumns count="7">
    <tableColumn id="1" name="EJE"/>
    <tableColumn id="2" name="PROMEDIO EJE"/>
    <tableColumn id="3" name="PESO %"/>
    <tableColumn id="4" name="SCORE PONDERADO"/>
    <tableColumn id="5" name="BRECHA %"/>
    <tableColumn id="6" name="CRÍTICAS &lt;2"/>
    <tableColumn id="7" name="ALER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/>
  </sheetViews>
  <sheetFormatPr baseColWidth="10" defaultColWidth="9.140625" defaultRowHeight="15" x14ac:dyDescent="0.25"/>
  <cols>
    <col min="1" max="1" width="20" customWidth="1"/>
    <col min="2" max="2" width="95" customWidth="1"/>
    <col min="3" max="3" width="40" customWidth="1"/>
    <col min="4" max="6" width="38" customWidth="1"/>
    <col min="7" max="7" width="22" customWidth="1"/>
  </cols>
  <sheetData>
    <row r="1" spans="1:8" x14ac:dyDescent="0.25">
      <c r="A1" s="20" t="s">
        <v>0</v>
      </c>
      <c r="B1" s="19"/>
      <c r="C1" s="19"/>
      <c r="D1" s="19"/>
      <c r="E1" s="19"/>
      <c r="F1" s="19"/>
      <c r="G1" s="19"/>
      <c r="H1" s="19"/>
    </row>
    <row r="3" spans="1:8" ht="30" x14ac:dyDescent="0.25">
      <c r="A3" s="2" t="s">
        <v>1</v>
      </c>
      <c r="B3" s="3" t="s">
        <v>2</v>
      </c>
    </row>
    <row r="4" spans="1:8" ht="30" x14ac:dyDescent="0.25">
      <c r="A4" s="2" t="s">
        <v>3</v>
      </c>
      <c r="B4" s="3" t="s">
        <v>4</v>
      </c>
    </row>
    <row r="5" spans="1:8" x14ac:dyDescent="0.25">
      <c r="A5" s="2" t="s">
        <v>5</v>
      </c>
      <c r="B5" s="3" t="s">
        <v>6</v>
      </c>
    </row>
    <row r="6" spans="1:8" x14ac:dyDescent="0.25">
      <c r="A6" s="2" t="s">
        <v>7</v>
      </c>
      <c r="B6" s="3" t="s">
        <v>8</v>
      </c>
    </row>
    <row r="7" spans="1:8" x14ac:dyDescent="0.25">
      <c r="A7" s="2" t="s">
        <v>9</v>
      </c>
      <c r="B7" s="3" t="s">
        <v>10</v>
      </c>
    </row>
    <row r="8" spans="1:8" x14ac:dyDescent="0.25">
      <c r="A8" s="2" t="s">
        <v>11</v>
      </c>
      <c r="B8" s="3" t="s">
        <v>12</v>
      </c>
    </row>
    <row r="10" spans="1:8" x14ac:dyDescent="0.25">
      <c r="A10" s="18" t="s">
        <v>13</v>
      </c>
      <c r="B10" s="19"/>
      <c r="C10" s="19"/>
      <c r="D10" s="19"/>
      <c r="E10" s="19"/>
      <c r="F10" s="19"/>
      <c r="G10" s="19"/>
    </row>
    <row r="11" spans="1:8" x14ac:dyDescent="0.25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</row>
    <row r="12" spans="1:8" x14ac:dyDescent="0.25">
      <c r="A12" s="5">
        <v>0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</row>
    <row r="13" spans="1:8" ht="30" x14ac:dyDescent="0.25">
      <c r="A13" s="5">
        <v>1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</row>
    <row r="14" spans="1:8" ht="30" x14ac:dyDescent="0.25">
      <c r="A14" s="5">
        <v>2</v>
      </c>
      <c r="B14" s="3" t="s">
        <v>33</v>
      </c>
      <c r="C14" s="3" t="s">
        <v>34</v>
      </c>
      <c r="D14" s="3" t="s">
        <v>35</v>
      </c>
      <c r="E14" s="3" t="s">
        <v>36</v>
      </c>
      <c r="F14" s="3" t="s">
        <v>37</v>
      </c>
      <c r="G14" s="3" t="s">
        <v>38</v>
      </c>
    </row>
    <row r="15" spans="1:8" x14ac:dyDescent="0.25">
      <c r="A15" s="5">
        <v>3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 t="s">
        <v>44</v>
      </c>
    </row>
    <row r="16" spans="1:8" ht="30" x14ac:dyDescent="0.25">
      <c r="A16" s="5">
        <v>4</v>
      </c>
      <c r="B16" s="3" t="s">
        <v>45</v>
      </c>
      <c r="C16" s="3" t="s">
        <v>46</v>
      </c>
      <c r="D16" s="3" t="s">
        <v>47</v>
      </c>
      <c r="E16" s="3" t="s">
        <v>48</v>
      </c>
      <c r="F16" s="3" t="s">
        <v>49</v>
      </c>
      <c r="G16" s="3" t="s">
        <v>50</v>
      </c>
    </row>
  </sheetData>
  <mergeCells count="2">
    <mergeCell ref="A10:G1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7"/>
  <sheetViews>
    <sheetView showGridLines="0" tabSelected="1" topLeftCell="A79" workbookViewId="0">
      <selection activeCell="F92" sqref="F92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3" width="11" customWidth="1"/>
    <col min="4" max="5" width="10" customWidth="1"/>
    <col min="6" max="6" width="65" customWidth="1"/>
    <col min="7" max="7" width="18" customWidth="1"/>
    <col min="8" max="8" width="13" customWidth="1"/>
    <col min="9" max="9" width="14" customWidth="1"/>
    <col min="10" max="10" width="32" customWidth="1"/>
  </cols>
  <sheetData>
    <row r="1" spans="1:10" ht="30" x14ac:dyDescent="0.25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</row>
    <row r="2" spans="1:10" ht="27.95" customHeight="1" x14ac:dyDescent="0.25">
      <c r="A2" s="7" t="s">
        <v>61</v>
      </c>
      <c r="B2" s="7" t="s">
        <v>62</v>
      </c>
      <c r="C2" s="7" t="s">
        <v>63</v>
      </c>
      <c r="D2" s="7" t="s">
        <v>64</v>
      </c>
      <c r="E2" s="7" t="s">
        <v>65</v>
      </c>
      <c r="F2" t="s">
        <v>228</v>
      </c>
      <c r="G2" s="8"/>
      <c r="H2" s="9" t="s">
        <v>66</v>
      </c>
      <c r="I2" s="9" t="s">
        <v>66</v>
      </c>
      <c r="J2" s="10" t="s">
        <v>66</v>
      </c>
    </row>
    <row r="3" spans="1:10" ht="27.95" customHeight="1" x14ac:dyDescent="0.25">
      <c r="A3" s="7" t="s">
        <v>61</v>
      </c>
      <c r="B3" s="7" t="s">
        <v>62</v>
      </c>
      <c r="C3" s="7" t="s">
        <v>67</v>
      </c>
      <c r="D3" s="7" t="s">
        <v>64</v>
      </c>
      <c r="E3" s="7" t="s">
        <v>65</v>
      </c>
      <c r="F3" t="s">
        <v>229</v>
      </c>
      <c r="G3" s="8" t="s">
        <v>66</v>
      </c>
      <c r="H3" s="9" t="s">
        <v>66</v>
      </c>
      <c r="I3" s="9" t="s">
        <v>66</v>
      </c>
      <c r="J3" s="10" t="s">
        <v>66</v>
      </c>
    </row>
    <row r="4" spans="1:10" ht="27.95" customHeight="1" x14ac:dyDescent="0.25">
      <c r="A4" s="11" t="s">
        <v>61</v>
      </c>
      <c r="B4" s="11" t="s">
        <v>62</v>
      </c>
      <c r="C4" s="11" t="s">
        <v>68</v>
      </c>
      <c r="D4" s="11" t="s">
        <v>64</v>
      </c>
      <c r="E4" s="11" t="s">
        <v>69</v>
      </c>
      <c r="F4" t="s">
        <v>230</v>
      </c>
      <c r="G4" s="8" t="s">
        <v>66</v>
      </c>
      <c r="H4" s="9" t="s">
        <v>66</v>
      </c>
      <c r="I4" s="9" t="s">
        <v>66</v>
      </c>
      <c r="J4" s="10" t="s">
        <v>66</v>
      </c>
    </row>
    <row r="5" spans="1:10" ht="27.95" customHeight="1" x14ac:dyDescent="0.25">
      <c r="A5" s="11" t="s">
        <v>61</v>
      </c>
      <c r="B5" s="11" t="s">
        <v>62</v>
      </c>
      <c r="C5" s="11" t="s">
        <v>70</v>
      </c>
      <c r="D5" s="11" t="s">
        <v>71</v>
      </c>
      <c r="E5" s="11" t="s">
        <v>69</v>
      </c>
      <c r="F5" t="s">
        <v>231</v>
      </c>
      <c r="G5" s="8" t="s">
        <v>66</v>
      </c>
      <c r="H5" s="9" t="s">
        <v>66</v>
      </c>
      <c r="I5" s="9" t="s">
        <v>66</v>
      </c>
      <c r="J5" s="10" t="s">
        <v>66</v>
      </c>
    </row>
    <row r="6" spans="1:10" ht="27.95" customHeight="1" x14ac:dyDescent="0.25">
      <c r="A6" s="11" t="s">
        <v>61</v>
      </c>
      <c r="B6" s="11" t="s">
        <v>62</v>
      </c>
      <c r="C6" s="11" t="s">
        <v>72</v>
      </c>
      <c r="D6" s="11" t="s">
        <v>71</v>
      </c>
      <c r="E6" s="11" t="s">
        <v>69</v>
      </c>
      <c r="F6" t="s">
        <v>232</v>
      </c>
      <c r="G6" s="8" t="s">
        <v>66</v>
      </c>
      <c r="H6" s="9" t="s">
        <v>66</v>
      </c>
      <c r="I6" s="9" t="s">
        <v>66</v>
      </c>
      <c r="J6" s="10" t="s">
        <v>66</v>
      </c>
    </row>
    <row r="7" spans="1:10" ht="27.95" customHeight="1" x14ac:dyDescent="0.25">
      <c r="A7" s="11" t="s">
        <v>61</v>
      </c>
      <c r="B7" s="11" t="s">
        <v>62</v>
      </c>
      <c r="C7" s="11" t="s">
        <v>73</v>
      </c>
      <c r="D7" s="11" t="s">
        <v>64</v>
      </c>
      <c r="E7" s="11" t="s">
        <v>69</v>
      </c>
      <c r="F7" t="s">
        <v>233</v>
      </c>
      <c r="G7" s="8" t="s">
        <v>66</v>
      </c>
      <c r="H7" s="9" t="s">
        <v>66</v>
      </c>
      <c r="I7" s="9" t="s">
        <v>66</v>
      </c>
      <c r="J7" s="10" t="s">
        <v>66</v>
      </c>
    </row>
    <row r="8" spans="1:10" ht="27.95" customHeight="1" x14ac:dyDescent="0.25">
      <c r="A8" s="11" t="s">
        <v>74</v>
      </c>
      <c r="B8" s="11" t="s">
        <v>75</v>
      </c>
      <c r="C8" s="11" t="s">
        <v>76</v>
      </c>
      <c r="D8" s="11" t="s">
        <v>64</v>
      </c>
      <c r="E8" s="11" t="s">
        <v>69</v>
      </c>
      <c r="F8" t="s">
        <v>234</v>
      </c>
      <c r="G8" s="8" t="s">
        <v>66</v>
      </c>
      <c r="H8" s="9" t="s">
        <v>66</v>
      </c>
      <c r="I8" s="9" t="s">
        <v>66</v>
      </c>
      <c r="J8" s="10" t="s">
        <v>66</v>
      </c>
    </row>
    <row r="9" spans="1:10" ht="27.95" customHeight="1" x14ac:dyDescent="0.25">
      <c r="A9" s="7" t="s">
        <v>74</v>
      </c>
      <c r="B9" s="7" t="s">
        <v>75</v>
      </c>
      <c r="C9" s="7" t="s">
        <v>77</v>
      </c>
      <c r="D9" s="7" t="s">
        <v>64</v>
      </c>
      <c r="E9" s="7" t="s">
        <v>65</v>
      </c>
      <c r="F9" t="s">
        <v>240</v>
      </c>
      <c r="G9" s="8" t="s">
        <v>66</v>
      </c>
      <c r="H9" s="9" t="s">
        <v>66</v>
      </c>
      <c r="I9" s="9" t="s">
        <v>66</v>
      </c>
      <c r="J9" s="10" t="s">
        <v>66</v>
      </c>
    </row>
    <row r="10" spans="1:10" ht="27.95" customHeight="1" x14ac:dyDescent="0.25">
      <c r="A10" s="11" t="s">
        <v>74</v>
      </c>
      <c r="B10" s="11" t="s">
        <v>75</v>
      </c>
      <c r="C10" s="11" t="s">
        <v>78</v>
      </c>
      <c r="D10" s="11" t="s">
        <v>64</v>
      </c>
      <c r="E10" s="11" t="s">
        <v>69</v>
      </c>
      <c r="F10" t="s">
        <v>241</v>
      </c>
      <c r="G10" s="8" t="s">
        <v>66</v>
      </c>
      <c r="H10" s="9" t="s">
        <v>66</v>
      </c>
      <c r="I10" s="9" t="s">
        <v>66</v>
      </c>
      <c r="J10" s="10" t="s">
        <v>66</v>
      </c>
    </row>
    <row r="11" spans="1:10" ht="27.95" customHeight="1" x14ac:dyDescent="0.25">
      <c r="A11" s="11" t="s">
        <v>74</v>
      </c>
      <c r="B11" s="11" t="s">
        <v>75</v>
      </c>
      <c r="C11" s="11" t="s">
        <v>79</v>
      </c>
      <c r="D11" s="11" t="s">
        <v>71</v>
      </c>
      <c r="E11" s="11" t="s">
        <v>69</v>
      </c>
      <c r="F11" t="s">
        <v>242</v>
      </c>
      <c r="G11" s="8" t="s">
        <v>66</v>
      </c>
      <c r="H11" s="9" t="s">
        <v>66</v>
      </c>
      <c r="I11" s="9" t="s">
        <v>66</v>
      </c>
      <c r="J11" s="10" t="s">
        <v>66</v>
      </c>
    </row>
    <row r="12" spans="1:10" ht="27.95" customHeight="1" x14ac:dyDescent="0.25">
      <c r="A12" s="11" t="s">
        <v>74</v>
      </c>
      <c r="B12" s="11" t="s">
        <v>75</v>
      </c>
      <c r="C12" s="11" t="s">
        <v>80</v>
      </c>
      <c r="D12" s="11" t="s">
        <v>64</v>
      </c>
      <c r="E12" s="11" t="s">
        <v>69</v>
      </c>
      <c r="F12" t="s">
        <v>243</v>
      </c>
      <c r="G12" s="8" t="s">
        <v>66</v>
      </c>
      <c r="H12" s="9" t="s">
        <v>66</v>
      </c>
      <c r="I12" s="9" t="s">
        <v>66</v>
      </c>
      <c r="J12" s="10" t="s">
        <v>66</v>
      </c>
    </row>
    <row r="13" spans="1:10" ht="27.95" customHeight="1" x14ac:dyDescent="0.25">
      <c r="A13" s="7" t="s">
        <v>81</v>
      </c>
      <c r="B13" s="7" t="s">
        <v>82</v>
      </c>
      <c r="C13" s="7" t="s">
        <v>83</v>
      </c>
      <c r="D13" s="7" t="s">
        <v>64</v>
      </c>
      <c r="E13" s="7" t="s">
        <v>65</v>
      </c>
      <c r="F13" t="s">
        <v>235</v>
      </c>
      <c r="G13" s="8" t="s">
        <v>66</v>
      </c>
      <c r="H13" s="9" t="s">
        <v>66</v>
      </c>
      <c r="I13" s="9" t="s">
        <v>66</v>
      </c>
      <c r="J13" s="10" t="s">
        <v>66</v>
      </c>
    </row>
    <row r="14" spans="1:10" ht="27.95" customHeight="1" x14ac:dyDescent="0.25">
      <c r="A14" s="11" t="s">
        <v>81</v>
      </c>
      <c r="B14" s="11" t="s">
        <v>82</v>
      </c>
      <c r="C14" s="11" t="s">
        <v>84</v>
      </c>
      <c r="D14" s="11" t="s">
        <v>64</v>
      </c>
      <c r="E14" s="11" t="s">
        <v>69</v>
      </c>
      <c r="F14" t="s">
        <v>236</v>
      </c>
      <c r="G14" s="8" t="s">
        <v>66</v>
      </c>
      <c r="H14" s="9" t="s">
        <v>66</v>
      </c>
      <c r="I14" s="9" t="s">
        <v>66</v>
      </c>
      <c r="J14" s="10" t="s">
        <v>66</v>
      </c>
    </row>
    <row r="15" spans="1:10" ht="27.95" customHeight="1" x14ac:dyDescent="0.25">
      <c r="A15" s="11" t="s">
        <v>81</v>
      </c>
      <c r="B15" s="11" t="s">
        <v>82</v>
      </c>
      <c r="C15" s="11" t="s">
        <v>85</v>
      </c>
      <c r="D15" s="11" t="s">
        <v>64</v>
      </c>
      <c r="E15" s="11" t="s">
        <v>69</v>
      </c>
      <c r="F15" t="s">
        <v>237</v>
      </c>
      <c r="G15" s="8" t="s">
        <v>66</v>
      </c>
      <c r="H15" s="9" t="s">
        <v>66</v>
      </c>
      <c r="I15" s="9" t="s">
        <v>66</v>
      </c>
      <c r="J15" s="10" t="s">
        <v>66</v>
      </c>
    </row>
    <row r="16" spans="1:10" ht="27.95" customHeight="1" x14ac:dyDescent="0.25">
      <c r="A16" s="11" t="s">
        <v>81</v>
      </c>
      <c r="B16" s="11" t="s">
        <v>82</v>
      </c>
      <c r="C16" s="11" t="s">
        <v>86</v>
      </c>
      <c r="D16" s="11" t="s">
        <v>64</v>
      </c>
      <c r="E16" s="11" t="s">
        <v>69</v>
      </c>
      <c r="F16" t="s">
        <v>238</v>
      </c>
      <c r="G16" s="8" t="s">
        <v>66</v>
      </c>
      <c r="H16" s="9" t="s">
        <v>66</v>
      </c>
      <c r="I16" s="9" t="s">
        <v>66</v>
      </c>
      <c r="J16" s="10" t="s">
        <v>66</v>
      </c>
    </row>
    <row r="17" spans="1:10" ht="27.95" customHeight="1" x14ac:dyDescent="0.25">
      <c r="A17" s="11" t="s">
        <v>81</v>
      </c>
      <c r="B17" s="11" t="s">
        <v>82</v>
      </c>
      <c r="C17" s="11" t="s">
        <v>87</v>
      </c>
      <c r="D17" s="11" t="s">
        <v>71</v>
      </c>
      <c r="E17" s="11" t="s">
        <v>69</v>
      </c>
      <c r="F17" t="s">
        <v>239</v>
      </c>
      <c r="G17" s="8" t="s">
        <v>66</v>
      </c>
      <c r="H17" s="9" t="s">
        <v>66</v>
      </c>
      <c r="I17" s="9" t="s">
        <v>66</v>
      </c>
      <c r="J17" s="10" t="s">
        <v>66</v>
      </c>
    </row>
    <row r="18" spans="1:10" ht="27.95" customHeight="1" x14ac:dyDescent="0.25">
      <c r="A18" s="7" t="s">
        <v>88</v>
      </c>
      <c r="B18" s="7" t="s">
        <v>89</v>
      </c>
      <c r="C18" s="7" t="s">
        <v>90</v>
      </c>
      <c r="D18" s="7" t="s">
        <v>64</v>
      </c>
      <c r="E18" s="7" t="s">
        <v>65</v>
      </c>
      <c r="F18" t="s">
        <v>244</v>
      </c>
      <c r="G18" s="8" t="s">
        <v>66</v>
      </c>
      <c r="H18" s="9" t="s">
        <v>66</v>
      </c>
      <c r="I18" s="9" t="s">
        <v>66</v>
      </c>
      <c r="J18" s="10" t="s">
        <v>66</v>
      </c>
    </row>
    <row r="19" spans="1:10" ht="27.95" customHeight="1" x14ac:dyDescent="0.25">
      <c r="A19" s="11" t="s">
        <v>88</v>
      </c>
      <c r="B19" s="11" t="s">
        <v>89</v>
      </c>
      <c r="C19" s="11" t="s">
        <v>91</v>
      </c>
      <c r="D19" s="11" t="s">
        <v>64</v>
      </c>
      <c r="E19" s="11" t="s">
        <v>69</v>
      </c>
      <c r="F19" t="s">
        <v>245</v>
      </c>
      <c r="G19" s="8" t="s">
        <v>66</v>
      </c>
      <c r="H19" s="9" t="s">
        <v>66</v>
      </c>
      <c r="I19" s="9" t="s">
        <v>66</v>
      </c>
      <c r="J19" s="10" t="s">
        <v>66</v>
      </c>
    </row>
    <row r="20" spans="1:10" ht="27.95" customHeight="1" x14ac:dyDescent="0.25">
      <c r="A20" s="11" t="s">
        <v>88</v>
      </c>
      <c r="B20" s="11" t="s">
        <v>89</v>
      </c>
      <c r="C20" s="11" t="s">
        <v>92</v>
      </c>
      <c r="D20" s="11" t="s">
        <v>64</v>
      </c>
      <c r="E20" s="11" t="s">
        <v>69</v>
      </c>
      <c r="F20" t="s">
        <v>246</v>
      </c>
      <c r="G20" s="8" t="s">
        <v>66</v>
      </c>
      <c r="H20" s="9" t="s">
        <v>66</v>
      </c>
      <c r="I20" s="9" t="s">
        <v>66</v>
      </c>
      <c r="J20" s="10" t="s">
        <v>66</v>
      </c>
    </row>
    <row r="21" spans="1:10" ht="27.95" customHeight="1" x14ac:dyDescent="0.25">
      <c r="A21" s="11" t="s">
        <v>88</v>
      </c>
      <c r="B21" s="11" t="s">
        <v>89</v>
      </c>
      <c r="C21" s="11" t="s">
        <v>93</v>
      </c>
      <c r="D21" s="11" t="s">
        <v>64</v>
      </c>
      <c r="E21" s="11" t="s">
        <v>69</v>
      </c>
      <c r="F21" t="s">
        <v>247</v>
      </c>
      <c r="G21" s="8" t="s">
        <v>66</v>
      </c>
      <c r="H21" s="9" t="s">
        <v>66</v>
      </c>
      <c r="I21" s="9" t="s">
        <v>66</v>
      </c>
      <c r="J21" s="10" t="s">
        <v>66</v>
      </c>
    </row>
    <row r="22" spans="1:10" ht="27.95" customHeight="1" x14ac:dyDescent="0.25">
      <c r="A22" s="7" t="s">
        <v>88</v>
      </c>
      <c r="B22" s="7" t="s">
        <v>89</v>
      </c>
      <c r="C22" s="7" t="s">
        <v>94</v>
      </c>
      <c r="D22" s="7" t="s">
        <v>64</v>
      </c>
      <c r="E22" s="7" t="s">
        <v>65</v>
      </c>
      <c r="F22" t="s">
        <v>248</v>
      </c>
      <c r="G22" s="8" t="s">
        <v>66</v>
      </c>
      <c r="H22" s="9" t="s">
        <v>66</v>
      </c>
      <c r="I22" s="9" t="s">
        <v>66</v>
      </c>
      <c r="J22" s="10" t="s">
        <v>66</v>
      </c>
    </row>
    <row r="23" spans="1:10" ht="27.95" customHeight="1" x14ac:dyDescent="0.25">
      <c r="A23" s="11" t="s">
        <v>88</v>
      </c>
      <c r="B23" s="11" t="s">
        <v>89</v>
      </c>
      <c r="C23" s="11" t="s">
        <v>95</v>
      </c>
      <c r="D23" s="11" t="s">
        <v>71</v>
      </c>
      <c r="E23" s="11" t="s">
        <v>69</v>
      </c>
      <c r="F23" t="s">
        <v>249</v>
      </c>
      <c r="G23" s="8" t="s">
        <v>66</v>
      </c>
      <c r="H23" s="9" t="s">
        <v>66</v>
      </c>
      <c r="I23" s="9" t="s">
        <v>66</v>
      </c>
      <c r="J23" s="10" t="s">
        <v>66</v>
      </c>
    </row>
    <row r="24" spans="1:10" ht="27.95" customHeight="1" x14ac:dyDescent="0.25">
      <c r="A24" s="11" t="s">
        <v>88</v>
      </c>
      <c r="B24" s="11" t="s">
        <v>89</v>
      </c>
      <c r="C24" s="11" t="s">
        <v>96</v>
      </c>
      <c r="D24" s="11" t="s">
        <v>71</v>
      </c>
      <c r="E24" s="11" t="s">
        <v>69</v>
      </c>
      <c r="F24" t="s">
        <v>250</v>
      </c>
      <c r="G24" s="8" t="s">
        <v>66</v>
      </c>
      <c r="H24" s="9" t="s">
        <v>66</v>
      </c>
      <c r="I24" s="9" t="s">
        <v>66</v>
      </c>
      <c r="J24" s="10" t="s">
        <v>66</v>
      </c>
    </row>
    <row r="25" spans="1:10" ht="27.95" customHeight="1" x14ac:dyDescent="0.25">
      <c r="A25" s="11" t="s">
        <v>88</v>
      </c>
      <c r="B25" s="11" t="s">
        <v>89</v>
      </c>
      <c r="C25" s="11" t="s">
        <v>97</v>
      </c>
      <c r="D25" s="11" t="s">
        <v>71</v>
      </c>
      <c r="E25" s="11" t="s">
        <v>69</v>
      </c>
      <c r="F25" t="s">
        <v>251</v>
      </c>
      <c r="G25" s="8" t="s">
        <v>66</v>
      </c>
      <c r="H25" s="9" t="s">
        <v>66</v>
      </c>
      <c r="I25" s="9" t="s">
        <v>66</v>
      </c>
      <c r="J25" s="10" t="s">
        <v>66</v>
      </c>
    </row>
    <row r="26" spans="1:10" ht="27.95" customHeight="1" x14ac:dyDescent="0.25">
      <c r="A26" s="11" t="s">
        <v>88</v>
      </c>
      <c r="B26" s="11" t="s">
        <v>89</v>
      </c>
      <c r="C26" s="11" t="s">
        <v>98</v>
      </c>
      <c r="D26" s="11" t="s">
        <v>71</v>
      </c>
      <c r="E26" s="11" t="s">
        <v>69</v>
      </c>
      <c r="F26" t="s">
        <v>252</v>
      </c>
      <c r="G26" s="8" t="s">
        <v>66</v>
      </c>
      <c r="H26" s="9" t="s">
        <v>66</v>
      </c>
      <c r="I26" s="9" t="s">
        <v>66</v>
      </c>
      <c r="J26" s="10" t="s">
        <v>66</v>
      </c>
    </row>
    <row r="27" spans="1:10" ht="27.95" customHeight="1" x14ac:dyDescent="0.25">
      <c r="A27" s="7" t="s">
        <v>99</v>
      </c>
      <c r="B27" s="7" t="s">
        <v>89</v>
      </c>
      <c r="C27" s="7" t="s">
        <v>100</v>
      </c>
      <c r="D27" s="7" t="s">
        <v>64</v>
      </c>
      <c r="E27" s="7" t="s">
        <v>65</v>
      </c>
      <c r="F27" t="s">
        <v>253</v>
      </c>
      <c r="G27" s="8" t="s">
        <v>66</v>
      </c>
      <c r="H27" s="9" t="s">
        <v>66</v>
      </c>
      <c r="I27" s="9" t="s">
        <v>66</v>
      </c>
      <c r="J27" s="10" t="s">
        <v>66</v>
      </c>
    </row>
    <row r="28" spans="1:10" ht="27.95" customHeight="1" x14ac:dyDescent="0.25">
      <c r="A28" s="11" t="s">
        <v>99</v>
      </c>
      <c r="B28" s="11" t="s">
        <v>89</v>
      </c>
      <c r="C28" s="11" t="s">
        <v>101</v>
      </c>
      <c r="D28" s="11" t="s">
        <v>64</v>
      </c>
      <c r="E28" s="11" t="s">
        <v>69</v>
      </c>
      <c r="F28" t="s">
        <v>254</v>
      </c>
      <c r="G28" s="8" t="s">
        <v>66</v>
      </c>
      <c r="H28" s="9" t="s">
        <v>66</v>
      </c>
      <c r="I28" s="9" t="s">
        <v>66</v>
      </c>
      <c r="J28" s="10" t="s">
        <v>66</v>
      </c>
    </row>
    <row r="29" spans="1:10" ht="27.95" customHeight="1" x14ac:dyDescent="0.25">
      <c r="A29" s="11" t="s">
        <v>99</v>
      </c>
      <c r="B29" s="11" t="s">
        <v>89</v>
      </c>
      <c r="C29" s="11" t="s">
        <v>102</v>
      </c>
      <c r="D29" s="11" t="s">
        <v>64</v>
      </c>
      <c r="E29" s="11" t="s">
        <v>69</v>
      </c>
      <c r="F29" t="s">
        <v>255</v>
      </c>
      <c r="G29" s="8" t="s">
        <v>66</v>
      </c>
      <c r="H29" s="9" t="s">
        <v>66</v>
      </c>
      <c r="I29" s="9" t="s">
        <v>66</v>
      </c>
      <c r="J29" s="10" t="s">
        <v>66</v>
      </c>
    </row>
    <row r="30" spans="1:10" ht="27.95" customHeight="1" x14ac:dyDescent="0.25">
      <c r="A30" s="11" t="s">
        <v>99</v>
      </c>
      <c r="B30" s="11" t="s">
        <v>89</v>
      </c>
      <c r="C30" s="11" t="s">
        <v>103</v>
      </c>
      <c r="D30" s="11" t="s">
        <v>71</v>
      </c>
      <c r="E30" s="11" t="s">
        <v>69</v>
      </c>
      <c r="F30" t="s">
        <v>256</v>
      </c>
      <c r="G30" s="8" t="s">
        <v>66</v>
      </c>
      <c r="H30" s="9" t="s">
        <v>66</v>
      </c>
      <c r="I30" s="9" t="s">
        <v>66</v>
      </c>
      <c r="J30" s="10" t="s">
        <v>66</v>
      </c>
    </row>
    <row r="31" spans="1:10" ht="27.95" customHeight="1" x14ac:dyDescent="0.25">
      <c r="A31" s="11" t="s">
        <v>99</v>
      </c>
      <c r="B31" s="11" t="s">
        <v>89</v>
      </c>
      <c r="C31" s="11" t="s">
        <v>104</v>
      </c>
      <c r="D31" s="11" t="s">
        <v>71</v>
      </c>
      <c r="E31" s="11" t="s">
        <v>69</v>
      </c>
      <c r="F31" t="s">
        <v>257</v>
      </c>
      <c r="G31" s="8" t="s">
        <v>66</v>
      </c>
      <c r="H31" s="9" t="s">
        <v>66</v>
      </c>
      <c r="I31" s="9" t="s">
        <v>66</v>
      </c>
      <c r="J31" s="10" t="s">
        <v>66</v>
      </c>
    </row>
    <row r="32" spans="1:10" ht="27.95" customHeight="1" x14ac:dyDescent="0.25">
      <c r="A32" s="11" t="s">
        <v>99</v>
      </c>
      <c r="B32" s="11" t="s">
        <v>89</v>
      </c>
      <c r="C32" s="11" t="s">
        <v>105</v>
      </c>
      <c r="D32" s="11" t="s">
        <v>71</v>
      </c>
      <c r="E32" s="11" t="s">
        <v>69</v>
      </c>
      <c r="F32" t="s">
        <v>258</v>
      </c>
      <c r="G32" s="8" t="s">
        <v>66</v>
      </c>
      <c r="H32" s="9" t="s">
        <v>66</v>
      </c>
      <c r="I32" s="9" t="s">
        <v>66</v>
      </c>
      <c r="J32" s="10" t="s">
        <v>66</v>
      </c>
    </row>
    <row r="33" spans="1:10" ht="27.95" customHeight="1" x14ac:dyDescent="0.25">
      <c r="A33" s="7" t="s">
        <v>106</v>
      </c>
      <c r="B33" s="7" t="s">
        <v>107</v>
      </c>
      <c r="C33" s="7" t="s">
        <v>108</v>
      </c>
      <c r="D33" s="7" t="s">
        <v>64</v>
      </c>
      <c r="E33" s="7" t="s">
        <v>65</v>
      </c>
      <c r="F33" t="s">
        <v>259</v>
      </c>
      <c r="G33" s="8" t="s">
        <v>66</v>
      </c>
      <c r="H33" s="9" t="s">
        <v>66</v>
      </c>
      <c r="I33" s="9" t="s">
        <v>66</v>
      </c>
      <c r="J33" s="10" t="s">
        <v>66</v>
      </c>
    </row>
    <row r="34" spans="1:10" ht="27.95" customHeight="1" x14ac:dyDescent="0.25">
      <c r="A34" s="7" t="s">
        <v>106</v>
      </c>
      <c r="B34" s="7" t="s">
        <v>107</v>
      </c>
      <c r="C34" s="7" t="s">
        <v>109</v>
      </c>
      <c r="D34" s="7" t="s">
        <v>64</v>
      </c>
      <c r="E34" s="7" t="s">
        <v>65</v>
      </c>
      <c r="F34" t="s">
        <v>260</v>
      </c>
      <c r="G34" s="8" t="s">
        <v>66</v>
      </c>
      <c r="H34" s="9" t="s">
        <v>66</v>
      </c>
      <c r="I34" s="9" t="s">
        <v>66</v>
      </c>
      <c r="J34" s="10" t="s">
        <v>66</v>
      </c>
    </row>
    <row r="35" spans="1:10" ht="27.95" customHeight="1" x14ac:dyDescent="0.25">
      <c r="A35" s="7" t="s">
        <v>106</v>
      </c>
      <c r="B35" s="7" t="s">
        <v>107</v>
      </c>
      <c r="C35" s="7" t="s">
        <v>110</v>
      </c>
      <c r="D35" s="7" t="s">
        <v>64</v>
      </c>
      <c r="E35" s="7" t="s">
        <v>65</v>
      </c>
      <c r="F35" t="s">
        <v>261</v>
      </c>
      <c r="G35" s="8" t="s">
        <v>66</v>
      </c>
      <c r="H35" s="9" t="s">
        <v>66</v>
      </c>
      <c r="I35" s="9" t="s">
        <v>66</v>
      </c>
      <c r="J35" s="10" t="s">
        <v>66</v>
      </c>
    </row>
    <row r="36" spans="1:10" ht="27.95" customHeight="1" x14ac:dyDescent="0.25">
      <c r="A36" s="11" t="s">
        <v>106</v>
      </c>
      <c r="B36" s="11" t="s">
        <v>107</v>
      </c>
      <c r="C36" s="11" t="s">
        <v>111</v>
      </c>
      <c r="D36" s="11" t="s">
        <v>64</v>
      </c>
      <c r="E36" s="11" t="s">
        <v>69</v>
      </c>
      <c r="F36" t="s">
        <v>262</v>
      </c>
      <c r="G36" s="8" t="s">
        <v>66</v>
      </c>
      <c r="H36" s="9" t="s">
        <v>66</v>
      </c>
      <c r="I36" s="9" t="s">
        <v>66</v>
      </c>
      <c r="J36" s="10" t="s">
        <v>66</v>
      </c>
    </row>
    <row r="37" spans="1:10" ht="27.95" customHeight="1" x14ac:dyDescent="0.25">
      <c r="A37" s="11" t="s">
        <v>106</v>
      </c>
      <c r="B37" s="11" t="s">
        <v>107</v>
      </c>
      <c r="C37" s="11" t="s">
        <v>112</v>
      </c>
      <c r="D37" s="11" t="s">
        <v>71</v>
      </c>
      <c r="E37" s="11" t="s">
        <v>69</v>
      </c>
      <c r="F37" t="s">
        <v>263</v>
      </c>
      <c r="G37" s="8" t="s">
        <v>66</v>
      </c>
      <c r="H37" s="9" t="s">
        <v>66</v>
      </c>
      <c r="I37" s="9" t="s">
        <v>66</v>
      </c>
      <c r="J37" s="10" t="s">
        <v>66</v>
      </c>
    </row>
    <row r="38" spans="1:10" ht="27.95" customHeight="1" x14ac:dyDescent="0.25">
      <c r="A38" s="11" t="s">
        <v>106</v>
      </c>
      <c r="B38" s="11" t="s">
        <v>107</v>
      </c>
      <c r="C38" s="11" t="s">
        <v>113</v>
      </c>
      <c r="D38" s="11" t="s">
        <v>71</v>
      </c>
      <c r="E38" s="11" t="s">
        <v>69</v>
      </c>
      <c r="F38" t="s">
        <v>264</v>
      </c>
      <c r="G38" s="8" t="s">
        <v>66</v>
      </c>
      <c r="H38" s="9" t="s">
        <v>66</v>
      </c>
      <c r="I38" s="9" t="s">
        <v>66</v>
      </c>
      <c r="J38" s="10" t="s">
        <v>66</v>
      </c>
    </row>
    <row r="39" spans="1:10" ht="27.95" customHeight="1" x14ac:dyDescent="0.25">
      <c r="A39" s="11" t="s">
        <v>106</v>
      </c>
      <c r="B39" s="11" t="s">
        <v>107</v>
      </c>
      <c r="C39" s="11" t="s">
        <v>114</v>
      </c>
      <c r="D39" s="11" t="s">
        <v>71</v>
      </c>
      <c r="E39" s="11" t="s">
        <v>69</v>
      </c>
      <c r="F39" t="s">
        <v>265</v>
      </c>
      <c r="G39" s="8" t="s">
        <v>66</v>
      </c>
      <c r="H39" s="9" t="s">
        <v>66</v>
      </c>
      <c r="I39" s="9" t="s">
        <v>66</v>
      </c>
      <c r="J39" s="10" t="s">
        <v>66</v>
      </c>
    </row>
    <row r="40" spans="1:10" ht="27.95" customHeight="1" x14ac:dyDescent="0.25">
      <c r="A40" s="11" t="s">
        <v>115</v>
      </c>
      <c r="B40" s="11" t="s">
        <v>116</v>
      </c>
      <c r="C40" s="11" t="s">
        <v>117</v>
      </c>
      <c r="D40" s="11" t="s">
        <v>64</v>
      </c>
      <c r="E40" s="11" t="s">
        <v>69</v>
      </c>
      <c r="F40" t="s">
        <v>266</v>
      </c>
      <c r="G40" s="8" t="s">
        <v>66</v>
      </c>
      <c r="H40" s="9" t="s">
        <v>66</v>
      </c>
      <c r="I40" s="9" t="s">
        <v>66</v>
      </c>
      <c r="J40" s="10" t="s">
        <v>66</v>
      </c>
    </row>
    <row r="41" spans="1:10" ht="27.95" customHeight="1" x14ac:dyDescent="0.25">
      <c r="A41" s="11" t="s">
        <v>115</v>
      </c>
      <c r="B41" s="11" t="s">
        <v>116</v>
      </c>
      <c r="C41" s="11" t="s">
        <v>118</v>
      </c>
      <c r="D41" s="11" t="s">
        <v>71</v>
      </c>
      <c r="E41" s="11" t="s">
        <v>69</v>
      </c>
      <c r="F41" t="s">
        <v>267</v>
      </c>
      <c r="G41" s="8" t="s">
        <v>66</v>
      </c>
      <c r="H41" s="9" t="s">
        <v>66</v>
      </c>
      <c r="I41" s="9" t="s">
        <v>66</v>
      </c>
      <c r="J41" s="10" t="s">
        <v>66</v>
      </c>
    </row>
    <row r="42" spans="1:10" ht="27.95" customHeight="1" x14ac:dyDescent="0.25">
      <c r="A42" s="11" t="s">
        <v>115</v>
      </c>
      <c r="B42" s="11" t="s">
        <v>116</v>
      </c>
      <c r="C42" s="11" t="s">
        <v>119</v>
      </c>
      <c r="D42" s="11" t="s">
        <v>64</v>
      </c>
      <c r="E42" s="11" t="s">
        <v>69</v>
      </c>
      <c r="F42" t="s">
        <v>268</v>
      </c>
      <c r="G42" s="8" t="s">
        <v>66</v>
      </c>
      <c r="H42" s="9" t="s">
        <v>66</v>
      </c>
      <c r="I42" s="9" t="s">
        <v>66</v>
      </c>
      <c r="J42" s="10" t="s">
        <v>66</v>
      </c>
    </row>
    <row r="43" spans="1:10" ht="27.95" customHeight="1" x14ac:dyDescent="0.25">
      <c r="A43" s="11" t="s">
        <v>115</v>
      </c>
      <c r="B43" s="11" t="s">
        <v>116</v>
      </c>
      <c r="C43" s="11" t="s">
        <v>120</v>
      </c>
      <c r="D43" s="11" t="s">
        <v>71</v>
      </c>
      <c r="E43" s="11" t="s">
        <v>69</v>
      </c>
      <c r="F43" t="s">
        <v>269</v>
      </c>
      <c r="G43" s="8" t="s">
        <v>66</v>
      </c>
      <c r="H43" s="9" t="s">
        <v>66</v>
      </c>
      <c r="I43" s="9" t="s">
        <v>66</v>
      </c>
      <c r="J43" s="10" t="s">
        <v>66</v>
      </c>
    </row>
    <row r="44" spans="1:10" ht="27.95" customHeight="1" x14ac:dyDescent="0.25">
      <c r="A44" s="11" t="s">
        <v>115</v>
      </c>
      <c r="B44" s="11" t="s">
        <v>116</v>
      </c>
      <c r="C44" s="11" t="s">
        <v>121</v>
      </c>
      <c r="D44" s="11" t="s">
        <v>71</v>
      </c>
      <c r="E44" s="11" t="s">
        <v>69</v>
      </c>
      <c r="F44" t="s">
        <v>270</v>
      </c>
      <c r="G44" s="8" t="s">
        <v>66</v>
      </c>
      <c r="H44" s="9" t="s">
        <v>66</v>
      </c>
      <c r="I44" s="9" t="s">
        <v>66</v>
      </c>
      <c r="J44" s="10" t="s">
        <v>66</v>
      </c>
    </row>
    <row r="45" spans="1:10" ht="27.95" customHeight="1" x14ac:dyDescent="0.25">
      <c r="A45" s="7" t="s">
        <v>122</v>
      </c>
      <c r="B45" s="7" t="s">
        <v>123</v>
      </c>
      <c r="C45" s="7" t="s">
        <v>124</v>
      </c>
      <c r="D45" s="7" t="s">
        <v>64</v>
      </c>
      <c r="E45" s="7" t="s">
        <v>65</v>
      </c>
      <c r="F45" t="s">
        <v>271</v>
      </c>
      <c r="G45" s="8" t="s">
        <v>66</v>
      </c>
      <c r="H45" s="9" t="s">
        <v>66</v>
      </c>
      <c r="I45" s="9" t="s">
        <v>66</v>
      </c>
      <c r="J45" s="10" t="s">
        <v>66</v>
      </c>
    </row>
    <row r="46" spans="1:10" ht="27.95" customHeight="1" x14ac:dyDescent="0.25">
      <c r="A46" s="11" t="s">
        <v>122</v>
      </c>
      <c r="B46" s="11" t="s">
        <v>123</v>
      </c>
      <c r="C46" s="11" t="s">
        <v>125</v>
      </c>
      <c r="D46" s="11" t="s">
        <v>71</v>
      </c>
      <c r="E46" s="11" t="s">
        <v>69</v>
      </c>
      <c r="F46" t="s">
        <v>272</v>
      </c>
      <c r="G46" s="8" t="s">
        <v>66</v>
      </c>
      <c r="H46" s="9" t="s">
        <v>66</v>
      </c>
      <c r="I46" s="9" t="s">
        <v>66</v>
      </c>
      <c r="J46" s="10" t="s">
        <v>66</v>
      </c>
    </row>
    <row r="47" spans="1:10" ht="27.95" customHeight="1" x14ac:dyDescent="0.25">
      <c r="A47" s="11" t="s">
        <v>122</v>
      </c>
      <c r="B47" s="11" t="s">
        <v>123</v>
      </c>
      <c r="C47" s="11" t="s">
        <v>126</v>
      </c>
      <c r="D47" s="11" t="s">
        <v>71</v>
      </c>
      <c r="E47" s="11" t="s">
        <v>69</v>
      </c>
      <c r="F47" t="s">
        <v>273</v>
      </c>
      <c r="G47" s="8" t="s">
        <v>66</v>
      </c>
      <c r="H47" s="9" t="s">
        <v>66</v>
      </c>
      <c r="I47" s="9" t="s">
        <v>66</v>
      </c>
      <c r="J47" s="10" t="s">
        <v>66</v>
      </c>
    </row>
    <row r="48" spans="1:10" ht="27.95" customHeight="1" x14ac:dyDescent="0.25">
      <c r="A48" s="11" t="s">
        <v>122</v>
      </c>
      <c r="B48" s="11" t="s">
        <v>123</v>
      </c>
      <c r="C48" s="11" t="s">
        <v>127</v>
      </c>
      <c r="D48" s="11" t="s">
        <v>64</v>
      </c>
      <c r="E48" s="11" t="s">
        <v>69</v>
      </c>
      <c r="F48" t="s">
        <v>274</v>
      </c>
      <c r="G48" s="8" t="s">
        <v>66</v>
      </c>
      <c r="H48" s="9" t="s">
        <v>66</v>
      </c>
      <c r="I48" s="9" t="s">
        <v>66</v>
      </c>
      <c r="J48" s="10" t="s">
        <v>66</v>
      </c>
    </row>
    <row r="49" spans="1:10" ht="27.95" customHeight="1" x14ac:dyDescent="0.25">
      <c r="A49" s="7" t="s">
        <v>128</v>
      </c>
      <c r="B49" s="7" t="s">
        <v>129</v>
      </c>
      <c r="C49" s="7" t="s">
        <v>130</v>
      </c>
      <c r="D49" s="7" t="s">
        <v>64</v>
      </c>
      <c r="E49" s="7" t="s">
        <v>65</v>
      </c>
      <c r="F49" t="s">
        <v>275</v>
      </c>
      <c r="G49" s="8" t="s">
        <v>66</v>
      </c>
      <c r="H49" s="9" t="s">
        <v>66</v>
      </c>
      <c r="I49" s="9" t="s">
        <v>66</v>
      </c>
      <c r="J49" s="10" t="s">
        <v>66</v>
      </c>
    </row>
    <row r="50" spans="1:10" ht="27.95" customHeight="1" x14ac:dyDescent="0.25">
      <c r="A50" s="11" t="s">
        <v>128</v>
      </c>
      <c r="B50" s="11" t="s">
        <v>129</v>
      </c>
      <c r="C50" s="11" t="s">
        <v>131</v>
      </c>
      <c r="D50" s="11" t="s">
        <v>64</v>
      </c>
      <c r="E50" s="11" t="s">
        <v>69</v>
      </c>
      <c r="F50" t="s">
        <v>276</v>
      </c>
      <c r="G50" s="8" t="s">
        <v>66</v>
      </c>
      <c r="H50" s="9" t="s">
        <v>66</v>
      </c>
      <c r="I50" s="9" t="s">
        <v>66</v>
      </c>
      <c r="J50" s="10" t="s">
        <v>66</v>
      </c>
    </row>
    <row r="51" spans="1:10" ht="27.95" customHeight="1" x14ac:dyDescent="0.25">
      <c r="A51" s="7" t="s">
        <v>128</v>
      </c>
      <c r="B51" s="7" t="s">
        <v>129</v>
      </c>
      <c r="C51" s="7" t="s">
        <v>132</v>
      </c>
      <c r="D51" s="7" t="s">
        <v>64</v>
      </c>
      <c r="E51" s="7" t="s">
        <v>65</v>
      </c>
      <c r="F51" t="s">
        <v>277</v>
      </c>
      <c r="G51" s="8" t="s">
        <v>66</v>
      </c>
      <c r="H51" s="9" t="s">
        <v>66</v>
      </c>
      <c r="I51" s="9" t="s">
        <v>66</v>
      </c>
      <c r="J51" s="10" t="s">
        <v>66</v>
      </c>
    </row>
    <row r="52" spans="1:10" ht="27.95" customHeight="1" x14ac:dyDescent="0.25">
      <c r="A52" s="11" t="s">
        <v>128</v>
      </c>
      <c r="B52" s="11" t="s">
        <v>129</v>
      </c>
      <c r="C52" s="11" t="s">
        <v>133</v>
      </c>
      <c r="D52" s="11" t="s">
        <v>71</v>
      </c>
      <c r="E52" s="11" t="s">
        <v>69</v>
      </c>
      <c r="F52" t="s">
        <v>278</v>
      </c>
      <c r="G52" s="8" t="s">
        <v>66</v>
      </c>
      <c r="H52" s="9" t="s">
        <v>66</v>
      </c>
      <c r="I52" s="9" t="s">
        <v>66</v>
      </c>
      <c r="J52" s="10" t="s">
        <v>66</v>
      </c>
    </row>
    <row r="53" spans="1:10" ht="27.95" customHeight="1" x14ac:dyDescent="0.25">
      <c r="A53" s="11" t="s">
        <v>128</v>
      </c>
      <c r="B53" s="11" t="s">
        <v>129</v>
      </c>
      <c r="C53" s="11" t="s">
        <v>134</v>
      </c>
      <c r="D53" s="11" t="s">
        <v>71</v>
      </c>
      <c r="E53" s="11" t="s">
        <v>69</v>
      </c>
      <c r="F53" t="s">
        <v>279</v>
      </c>
      <c r="G53" s="8" t="s">
        <v>66</v>
      </c>
      <c r="H53" s="9" t="s">
        <v>66</v>
      </c>
      <c r="I53" s="9" t="s">
        <v>66</v>
      </c>
      <c r="J53" s="10" t="s">
        <v>66</v>
      </c>
    </row>
    <row r="54" spans="1:10" ht="27.95" customHeight="1" x14ac:dyDescent="0.25">
      <c r="A54" s="11" t="s">
        <v>128</v>
      </c>
      <c r="B54" s="11" t="s">
        <v>129</v>
      </c>
      <c r="C54" s="11" t="s">
        <v>135</v>
      </c>
      <c r="D54" s="11" t="s">
        <v>71</v>
      </c>
      <c r="E54" s="11" t="s">
        <v>69</v>
      </c>
      <c r="F54" t="s">
        <v>280</v>
      </c>
      <c r="G54" s="8" t="s">
        <v>66</v>
      </c>
      <c r="H54" s="9" t="s">
        <v>66</v>
      </c>
      <c r="I54" s="9" t="s">
        <v>66</v>
      </c>
      <c r="J54" s="10" t="s">
        <v>66</v>
      </c>
    </row>
    <row r="55" spans="1:10" ht="27.95" customHeight="1" x14ac:dyDescent="0.25">
      <c r="A55" s="11" t="s">
        <v>128</v>
      </c>
      <c r="B55" s="11" t="s">
        <v>129</v>
      </c>
      <c r="C55" s="11" t="s">
        <v>136</v>
      </c>
      <c r="D55" s="11" t="s">
        <v>71</v>
      </c>
      <c r="E55" s="11" t="s">
        <v>69</v>
      </c>
      <c r="F55" t="s">
        <v>281</v>
      </c>
      <c r="G55" s="8" t="s">
        <v>66</v>
      </c>
      <c r="H55" s="9" t="s">
        <v>66</v>
      </c>
      <c r="I55" s="9" t="s">
        <v>66</v>
      </c>
      <c r="J55" s="10" t="s">
        <v>66</v>
      </c>
    </row>
    <row r="56" spans="1:10" ht="27.95" customHeight="1" x14ac:dyDescent="0.25">
      <c r="A56" s="7" t="s">
        <v>137</v>
      </c>
      <c r="B56" s="7" t="s">
        <v>138</v>
      </c>
      <c r="C56" s="7" t="s">
        <v>139</v>
      </c>
      <c r="D56" s="7" t="s">
        <v>64</v>
      </c>
      <c r="E56" s="7" t="s">
        <v>65</v>
      </c>
      <c r="F56" t="s">
        <v>282</v>
      </c>
      <c r="G56" s="8" t="s">
        <v>66</v>
      </c>
      <c r="H56" s="9" t="s">
        <v>66</v>
      </c>
      <c r="I56" s="9" t="s">
        <v>66</v>
      </c>
      <c r="J56" s="10" t="s">
        <v>66</v>
      </c>
    </row>
    <row r="57" spans="1:10" ht="27.95" customHeight="1" x14ac:dyDescent="0.25">
      <c r="A57" s="7" t="s">
        <v>137</v>
      </c>
      <c r="B57" s="7" t="s">
        <v>138</v>
      </c>
      <c r="C57" s="7" t="s">
        <v>140</v>
      </c>
      <c r="D57" s="7" t="s">
        <v>64</v>
      </c>
      <c r="E57" s="7" t="s">
        <v>65</v>
      </c>
      <c r="F57" t="s">
        <v>283</v>
      </c>
      <c r="G57" s="8" t="s">
        <v>66</v>
      </c>
      <c r="H57" s="9" t="s">
        <v>66</v>
      </c>
      <c r="I57" s="9" t="s">
        <v>66</v>
      </c>
      <c r="J57" s="10" t="s">
        <v>66</v>
      </c>
    </row>
    <row r="58" spans="1:10" ht="27.95" customHeight="1" x14ac:dyDescent="0.25">
      <c r="A58" s="7" t="s">
        <v>137</v>
      </c>
      <c r="B58" s="7" t="s">
        <v>138</v>
      </c>
      <c r="C58" s="7" t="s">
        <v>141</v>
      </c>
      <c r="D58" s="7" t="s">
        <v>64</v>
      </c>
      <c r="E58" s="7" t="s">
        <v>65</v>
      </c>
      <c r="F58" t="s">
        <v>284</v>
      </c>
      <c r="G58" s="8" t="s">
        <v>66</v>
      </c>
      <c r="H58" s="9" t="s">
        <v>66</v>
      </c>
      <c r="I58" s="9" t="s">
        <v>66</v>
      </c>
      <c r="J58" s="10" t="s">
        <v>66</v>
      </c>
    </row>
    <row r="59" spans="1:10" ht="27.95" customHeight="1" x14ac:dyDescent="0.25">
      <c r="A59" s="11" t="s">
        <v>137</v>
      </c>
      <c r="B59" s="11" t="s">
        <v>138</v>
      </c>
      <c r="C59" s="11" t="s">
        <v>142</v>
      </c>
      <c r="D59" s="11" t="s">
        <v>64</v>
      </c>
      <c r="E59" s="11" t="s">
        <v>69</v>
      </c>
      <c r="F59" t="s">
        <v>285</v>
      </c>
      <c r="G59" s="8" t="s">
        <v>66</v>
      </c>
      <c r="H59" s="9" t="s">
        <v>66</v>
      </c>
      <c r="I59" s="9" t="s">
        <v>66</v>
      </c>
      <c r="J59" s="10" t="s">
        <v>66</v>
      </c>
    </row>
    <row r="60" spans="1:10" ht="27.95" customHeight="1" x14ac:dyDescent="0.25">
      <c r="A60" s="11" t="s">
        <v>137</v>
      </c>
      <c r="B60" s="11" t="s">
        <v>138</v>
      </c>
      <c r="C60" s="11" t="s">
        <v>143</v>
      </c>
      <c r="D60" s="11" t="s">
        <v>71</v>
      </c>
      <c r="E60" s="11" t="s">
        <v>69</v>
      </c>
      <c r="F60" t="s">
        <v>286</v>
      </c>
      <c r="G60" s="8" t="s">
        <v>66</v>
      </c>
      <c r="H60" s="9" t="s">
        <v>66</v>
      </c>
      <c r="I60" s="9" t="s">
        <v>66</v>
      </c>
      <c r="J60" s="10" t="s">
        <v>66</v>
      </c>
    </row>
    <row r="61" spans="1:10" ht="27.95" customHeight="1" x14ac:dyDescent="0.25">
      <c r="A61" s="11" t="s">
        <v>137</v>
      </c>
      <c r="B61" s="11" t="s">
        <v>138</v>
      </c>
      <c r="C61" s="11" t="s">
        <v>144</v>
      </c>
      <c r="D61" s="11" t="s">
        <v>71</v>
      </c>
      <c r="E61" s="11" t="s">
        <v>69</v>
      </c>
      <c r="F61" t="s">
        <v>287</v>
      </c>
      <c r="G61" s="8" t="s">
        <v>66</v>
      </c>
      <c r="H61" s="9" t="s">
        <v>66</v>
      </c>
      <c r="I61" s="9" t="s">
        <v>66</v>
      </c>
      <c r="J61" s="10" t="s">
        <v>66</v>
      </c>
    </row>
    <row r="62" spans="1:10" ht="27.95" customHeight="1" x14ac:dyDescent="0.25">
      <c r="A62" s="7" t="s">
        <v>145</v>
      </c>
      <c r="B62" s="7" t="s">
        <v>138</v>
      </c>
      <c r="C62" s="7" t="s">
        <v>146</v>
      </c>
      <c r="D62" s="7" t="s">
        <v>64</v>
      </c>
      <c r="E62" s="7" t="s">
        <v>65</v>
      </c>
      <c r="F62" t="s">
        <v>288</v>
      </c>
      <c r="G62" s="8" t="s">
        <v>66</v>
      </c>
      <c r="H62" s="9" t="s">
        <v>66</v>
      </c>
      <c r="I62" s="9" t="s">
        <v>66</v>
      </c>
      <c r="J62" s="10" t="s">
        <v>66</v>
      </c>
    </row>
    <row r="63" spans="1:10" ht="27.95" customHeight="1" x14ac:dyDescent="0.25">
      <c r="A63" s="11" t="s">
        <v>145</v>
      </c>
      <c r="B63" s="11" t="s">
        <v>138</v>
      </c>
      <c r="C63" s="11" t="s">
        <v>147</v>
      </c>
      <c r="D63" s="11" t="s">
        <v>64</v>
      </c>
      <c r="E63" s="11" t="s">
        <v>69</v>
      </c>
      <c r="F63" t="s">
        <v>289</v>
      </c>
      <c r="G63" s="8" t="s">
        <v>66</v>
      </c>
      <c r="H63" s="9" t="s">
        <v>66</v>
      </c>
      <c r="I63" s="9" t="s">
        <v>66</v>
      </c>
      <c r="J63" s="10" t="s">
        <v>66</v>
      </c>
    </row>
    <row r="64" spans="1:10" ht="27.95" customHeight="1" x14ac:dyDescent="0.25">
      <c r="A64" s="7" t="s">
        <v>145</v>
      </c>
      <c r="B64" s="7" t="s">
        <v>138</v>
      </c>
      <c r="C64" s="7" t="s">
        <v>148</v>
      </c>
      <c r="D64" s="7" t="s">
        <v>64</v>
      </c>
      <c r="E64" s="7" t="s">
        <v>65</v>
      </c>
      <c r="F64" t="s">
        <v>290</v>
      </c>
      <c r="G64" s="8" t="s">
        <v>66</v>
      </c>
      <c r="H64" s="9" t="s">
        <v>66</v>
      </c>
      <c r="I64" s="9" t="s">
        <v>66</v>
      </c>
      <c r="J64" s="10" t="s">
        <v>66</v>
      </c>
    </row>
    <row r="65" spans="1:10" ht="27.95" customHeight="1" x14ac:dyDescent="0.25">
      <c r="A65" s="11" t="s">
        <v>145</v>
      </c>
      <c r="B65" s="11" t="s">
        <v>138</v>
      </c>
      <c r="C65" s="11" t="s">
        <v>149</v>
      </c>
      <c r="D65" s="11" t="s">
        <v>71</v>
      </c>
      <c r="E65" s="11" t="s">
        <v>69</v>
      </c>
      <c r="F65" t="s">
        <v>291</v>
      </c>
      <c r="G65" s="8" t="s">
        <v>66</v>
      </c>
      <c r="H65" s="9" t="s">
        <v>66</v>
      </c>
      <c r="I65" s="9" t="s">
        <v>66</v>
      </c>
      <c r="J65" s="10" t="s">
        <v>66</v>
      </c>
    </row>
    <row r="66" spans="1:10" ht="27.95" customHeight="1" x14ac:dyDescent="0.25">
      <c r="A66" s="11" t="s">
        <v>145</v>
      </c>
      <c r="B66" s="11" t="s">
        <v>138</v>
      </c>
      <c r="C66" s="11" t="s">
        <v>150</v>
      </c>
      <c r="D66" s="11" t="s">
        <v>71</v>
      </c>
      <c r="E66" s="11" t="s">
        <v>69</v>
      </c>
      <c r="F66" t="s">
        <v>292</v>
      </c>
      <c r="G66" s="8" t="s">
        <v>66</v>
      </c>
      <c r="H66" s="9" t="s">
        <v>66</v>
      </c>
      <c r="I66" s="9" t="s">
        <v>66</v>
      </c>
      <c r="J66" s="10" t="s">
        <v>66</v>
      </c>
    </row>
    <row r="67" spans="1:10" ht="27.95" customHeight="1" x14ac:dyDescent="0.25">
      <c r="A67" s="11" t="s">
        <v>145</v>
      </c>
      <c r="B67" s="11" t="s">
        <v>138</v>
      </c>
      <c r="C67" s="11" t="s">
        <v>151</v>
      </c>
      <c r="D67" s="11" t="s">
        <v>71</v>
      </c>
      <c r="E67" s="11" t="s">
        <v>69</v>
      </c>
      <c r="F67" t="s">
        <v>293</v>
      </c>
      <c r="G67" s="8" t="s">
        <v>66</v>
      </c>
      <c r="H67" s="9" t="s">
        <v>66</v>
      </c>
      <c r="I67" s="9" t="s">
        <v>66</v>
      </c>
      <c r="J67" s="10" t="s">
        <v>66</v>
      </c>
    </row>
    <row r="68" spans="1:10" ht="27.95" customHeight="1" x14ac:dyDescent="0.25">
      <c r="A68" s="7" t="s">
        <v>152</v>
      </c>
      <c r="B68" s="7" t="s">
        <v>129</v>
      </c>
      <c r="C68" s="7" t="s">
        <v>153</v>
      </c>
      <c r="D68" s="7" t="s">
        <v>64</v>
      </c>
      <c r="E68" s="7" t="s">
        <v>65</v>
      </c>
      <c r="F68" t="s">
        <v>304</v>
      </c>
      <c r="G68" s="8" t="s">
        <v>66</v>
      </c>
      <c r="H68" s="9" t="s">
        <v>66</v>
      </c>
      <c r="I68" s="9" t="s">
        <v>66</v>
      </c>
      <c r="J68" s="10" t="s">
        <v>66</v>
      </c>
    </row>
    <row r="69" spans="1:10" ht="27.95" customHeight="1" x14ac:dyDescent="0.25">
      <c r="A69" s="11" t="s">
        <v>152</v>
      </c>
      <c r="B69" s="11" t="s">
        <v>129</v>
      </c>
      <c r="C69" s="11" t="s">
        <v>154</v>
      </c>
      <c r="D69" s="11" t="s">
        <v>71</v>
      </c>
      <c r="E69" s="11" t="s">
        <v>69</v>
      </c>
      <c r="F69" t="s">
        <v>305</v>
      </c>
      <c r="G69" s="8" t="s">
        <v>66</v>
      </c>
      <c r="H69" s="9" t="s">
        <v>66</v>
      </c>
      <c r="I69" s="9" t="s">
        <v>66</v>
      </c>
      <c r="J69" s="10" t="s">
        <v>66</v>
      </c>
    </row>
    <row r="70" spans="1:10" ht="27.95" customHeight="1" x14ac:dyDescent="0.25">
      <c r="A70" s="11" t="s">
        <v>152</v>
      </c>
      <c r="B70" s="11" t="s">
        <v>129</v>
      </c>
      <c r="C70" s="11" t="s">
        <v>155</v>
      </c>
      <c r="D70" s="11" t="s">
        <v>71</v>
      </c>
      <c r="E70" s="11" t="s">
        <v>69</v>
      </c>
      <c r="F70" t="s">
        <v>306</v>
      </c>
      <c r="G70" s="8" t="s">
        <v>66</v>
      </c>
      <c r="H70" s="9" t="s">
        <v>66</v>
      </c>
      <c r="I70" s="9" t="s">
        <v>66</v>
      </c>
      <c r="J70" s="10" t="s">
        <v>66</v>
      </c>
    </row>
    <row r="71" spans="1:10" ht="27.95" customHeight="1" x14ac:dyDescent="0.25">
      <c r="A71" s="7" t="s">
        <v>152</v>
      </c>
      <c r="B71" s="7" t="s">
        <v>129</v>
      </c>
      <c r="C71" s="7" t="s">
        <v>156</v>
      </c>
      <c r="D71" s="7" t="s">
        <v>64</v>
      </c>
      <c r="E71" s="7" t="s">
        <v>65</v>
      </c>
      <c r="F71" t="s">
        <v>307</v>
      </c>
      <c r="G71" s="8" t="s">
        <v>66</v>
      </c>
      <c r="H71" s="9" t="s">
        <v>66</v>
      </c>
      <c r="I71" s="9" t="s">
        <v>66</v>
      </c>
      <c r="J71" s="10" t="s">
        <v>66</v>
      </c>
    </row>
    <row r="72" spans="1:10" ht="27.95" customHeight="1" x14ac:dyDescent="0.25">
      <c r="A72" s="11" t="s">
        <v>152</v>
      </c>
      <c r="B72" s="11" t="s">
        <v>129</v>
      </c>
      <c r="C72" s="11" t="s">
        <v>157</v>
      </c>
      <c r="D72" s="11" t="s">
        <v>71</v>
      </c>
      <c r="E72" s="11" t="s">
        <v>69</v>
      </c>
      <c r="F72" t="s">
        <v>308</v>
      </c>
      <c r="G72" s="8" t="s">
        <v>66</v>
      </c>
      <c r="H72" s="9" t="s">
        <v>66</v>
      </c>
      <c r="I72" s="9" t="s">
        <v>66</v>
      </c>
      <c r="J72" s="10" t="s">
        <v>66</v>
      </c>
    </row>
    <row r="73" spans="1:10" ht="27.95" customHeight="1" x14ac:dyDescent="0.25">
      <c r="A73" s="11" t="s">
        <v>158</v>
      </c>
      <c r="B73" s="11" t="s">
        <v>74</v>
      </c>
      <c r="C73" s="11" t="s">
        <v>159</v>
      </c>
      <c r="D73" s="11" t="s">
        <v>71</v>
      </c>
      <c r="E73" s="11" t="s">
        <v>69</v>
      </c>
      <c r="F73" t="s">
        <v>309</v>
      </c>
      <c r="G73" s="8" t="s">
        <v>66</v>
      </c>
      <c r="H73" s="9" t="s">
        <v>66</v>
      </c>
      <c r="I73" s="9" t="s">
        <v>66</v>
      </c>
      <c r="J73" s="10" t="s">
        <v>66</v>
      </c>
    </row>
    <row r="74" spans="1:10" ht="27.95" customHeight="1" x14ac:dyDescent="0.25">
      <c r="A74" s="11" t="s">
        <v>158</v>
      </c>
      <c r="B74" s="11" t="s">
        <v>74</v>
      </c>
      <c r="C74" s="11" t="s">
        <v>160</v>
      </c>
      <c r="D74" s="11" t="s">
        <v>71</v>
      </c>
      <c r="E74" s="11" t="s">
        <v>69</v>
      </c>
      <c r="F74" t="s">
        <v>310</v>
      </c>
      <c r="G74" s="8" t="s">
        <v>66</v>
      </c>
      <c r="H74" s="9" t="s">
        <v>66</v>
      </c>
      <c r="I74" s="9" t="s">
        <v>66</v>
      </c>
      <c r="J74" s="10" t="s">
        <v>66</v>
      </c>
    </row>
    <row r="75" spans="1:10" ht="27.95" customHeight="1" x14ac:dyDescent="0.25">
      <c r="A75" s="11" t="s">
        <v>158</v>
      </c>
      <c r="B75" s="11" t="s">
        <v>74</v>
      </c>
      <c r="C75" s="11" t="s">
        <v>161</v>
      </c>
      <c r="D75" s="11" t="s">
        <v>64</v>
      </c>
      <c r="E75" s="11" t="s">
        <v>69</v>
      </c>
      <c r="F75" t="s">
        <v>311</v>
      </c>
      <c r="G75" s="8" t="s">
        <v>66</v>
      </c>
      <c r="H75" s="9" t="s">
        <v>66</v>
      </c>
      <c r="I75" s="9" t="s">
        <v>66</v>
      </c>
      <c r="J75" s="10" t="s">
        <v>66</v>
      </c>
    </row>
    <row r="76" spans="1:10" ht="27.95" customHeight="1" x14ac:dyDescent="0.25">
      <c r="A76" s="11" t="s">
        <v>158</v>
      </c>
      <c r="B76" s="11" t="s">
        <v>74</v>
      </c>
      <c r="C76" s="11" t="s">
        <v>162</v>
      </c>
      <c r="D76" s="11" t="s">
        <v>71</v>
      </c>
      <c r="E76" s="11" t="s">
        <v>69</v>
      </c>
      <c r="F76" t="s">
        <v>312</v>
      </c>
      <c r="G76" s="8" t="s">
        <v>66</v>
      </c>
      <c r="H76" s="9" t="s">
        <v>66</v>
      </c>
      <c r="I76" s="9" t="s">
        <v>66</v>
      </c>
      <c r="J76" s="10" t="s">
        <v>66</v>
      </c>
    </row>
    <row r="77" spans="1:10" ht="27.95" customHeight="1" x14ac:dyDescent="0.25">
      <c r="A77" s="11" t="s">
        <v>158</v>
      </c>
      <c r="B77" s="11" t="s">
        <v>74</v>
      </c>
      <c r="C77" s="11" t="s">
        <v>163</v>
      </c>
      <c r="D77" s="11" t="s">
        <v>71</v>
      </c>
      <c r="E77" s="11" t="s">
        <v>69</v>
      </c>
      <c r="F77" t="s">
        <v>313</v>
      </c>
      <c r="G77" s="8" t="s">
        <v>66</v>
      </c>
      <c r="H77" s="9" t="s">
        <v>66</v>
      </c>
      <c r="I77" s="9" t="s">
        <v>66</v>
      </c>
      <c r="J77" s="10" t="s">
        <v>66</v>
      </c>
    </row>
    <row r="78" spans="1:10" ht="27.95" customHeight="1" x14ac:dyDescent="0.25">
      <c r="A78" s="7" t="s">
        <v>164</v>
      </c>
      <c r="B78" s="7" t="s">
        <v>165</v>
      </c>
      <c r="C78" s="7" t="s">
        <v>166</v>
      </c>
      <c r="D78" s="7" t="s">
        <v>64</v>
      </c>
      <c r="E78" s="7" t="s">
        <v>65</v>
      </c>
      <c r="F78" t="s">
        <v>294</v>
      </c>
      <c r="G78" s="8" t="s">
        <v>66</v>
      </c>
      <c r="H78" s="9" t="s">
        <v>66</v>
      </c>
      <c r="I78" s="9" t="s">
        <v>66</v>
      </c>
      <c r="J78" s="10" t="s">
        <v>66</v>
      </c>
    </row>
    <row r="79" spans="1:10" ht="27.95" customHeight="1" x14ac:dyDescent="0.25">
      <c r="A79" s="11" t="s">
        <v>164</v>
      </c>
      <c r="B79" s="11" t="s">
        <v>165</v>
      </c>
      <c r="C79" s="11" t="s">
        <v>167</v>
      </c>
      <c r="D79" s="11" t="s">
        <v>64</v>
      </c>
      <c r="E79" s="11" t="s">
        <v>69</v>
      </c>
      <c r="F79" t="s">
        <v>295</v>
      </c>
      <c r="G79" s="8" t="s">
        <v>66</v>
      </c>
      <c r="H79" s="9" t="s">
        <v>66</v>
      </c>
      <c r="I79" s="9" t="s">
        <v>66</v>
      </c>
      <c r="J79" s="10" t="s">
        <v>66</v>
      </c>
    </row>
    <row r="80" spans="1:10" ht="27.95" customHeight="1" x14ac:dyDescent="0.25">
      <c r="A80" s="7" t="s">
        <v>164</v>
      </c>
      <c r="B80" s="7" t="s">
        <v>165</v>
      </c>
      <c r="C80" s="7" t="s">
        <v>168</v>
      </c>
      <c r="D80" s="7" t="s">
        <v>64</v>
      </c>
      <c r="E80" s="7" t="s">
        <v>65</v>
      </c>
      <c r="F80" t="s">
        <v>296</v>
      </c>
      <c r="G80" s="8" t="s">
        <v>66</v>
      </c>
      <c r="H80" s="9" t="s">
        <v>66</v>
      </c>
      <c r="I80" s="9" t="s">
        <v>66</v>
      </c>
      <c r="J80" s="10" t="s">
        <v>66</v>
      </c>
    </row>
    <row r="81" spans="1:10" ht="27.95" customHeight="1" x14ac:dyDescent="0.25">
      <c r="A81" s="7" t="s">
        <v>164</v>
      </c>
      <c r="B81" s="7" t="s">
        <v>165</v>
      </c>
      <c r="C81" s="7" t="s">
        <v>169</v>
      </c>
      <c r="D81" s="7" t="s">
        <v>64</v>
      </c>
      <c r="E81" s="7" t="s">
        <v>65</v>
      </c>
      <c r="F81" t="s">
        <v>297</v>
      </c>
      <c r="G81" s="8" t="s">
        <v>66</v>
      </c>
      <c r="H81" s="9" t="s">
        <v>66</v>
      </c>
      <c r="I81" s="9" t="s">
        <v>66</v>
      </c>
      <c r="J81" s="10" t="s">
        <v>66</v>
      </c>
    </row>
    <row r="82" spans="1:10" ht="27.95" customHeight="1" x14ac:dyDescent="0.25">
      <c r="A82" s="11" t="s">
        <v>164</v>
      </c>
      <c r="B82" s="11" t="s">
        <v>165</v>
      </c>
      <c r="C82" s="11" t="s">
        <v>170</v>
      </c>
      <c r="D82" s="11" t="s">
        <v>64</v>
      </c>
      <c r="E82" s="11" t="s">
        <v>69</v>
      </c>
      <c r="F82" t="s">
        <v>298</v>
      </c>
      <c r="G82" s="8" t="s">
        <v>66</v>
      </c>
      <c r="H82" s="9" t="s">
        <v>66</v>
      </c>
      <c r="I82" s="9" t="s">
        <v>66</v>
      </c>
      <c r="J82" s="10" t="s">
        <v>66</v>
      </c>
    </row>
    <row r="83" spans="1:10" ht="27.95" customHeight="1" x14ac:dyDescent="0.25">
      <c r="A83" s="11" t="s">
        <v>164</v>
      </c>
      <c r="B83" s="11" t="s">
        <v>165</v>
      </c>
      <c r="C83" s="11" t="s">
        <v>171</v>
      </c>
      <c r="D83" s="11" t="s">
        <v>71</v>
      </c>
      <c r="E83" s="11" t="s">
        <v>69</v>
      </c>
      <c r="F83" t="s">
        <v>299</v>
      </c>
      <c r="G83" s="8" t="s">
        <v>66</v>
      </c>
      <c r="H83" s="9" t="s">
        <v>66</v>
      </c>
      <c r="I83" s="9" t="s">
        <v>66</v>
      </c>
      <c r="J83" s="10" t="s">
        <v>66</v>
      </c>
    </row>
    <row r="84" spans="1:10" ht="27.95" customHeight="1" x14ac:dyDescent="0.25">
      <c r="A84" s="11" t="s">
        <v>164</v>
      </c>
      <c r="B84" s="11" t="s">
        <v>165</v>
      </c>
      <c r="C84" s="11" t="s">
        <v>172</v>
      </c>
      <c r="D84" s="11" t="s">
        <v>71</v>
      </c>
      <c r="E84" s="11" t="s">
        <v>69</v>
      </c>
      <c r="F84" t="s">
        <v>300</v>
      </c>
      <c r="G84" s="8" t="s">
        <v>66</v>
      </c>
      <c r="H84" s="9" t="s">
        <v>66</v>
      </c>
      <c r="I84" s="9" t="s">
        <v>66</v>
      </c>
      <c r="J84" s="10" t="s">
        <v>66</v>
      </c>
    </row>
    <row r="85" spans="1:10" ht="27.95" customHeight="1" x14ac:dyDescent="0.25">
      <c r="A85" s="11" t="s">
        <v>164</v>
      </c>
      <c r="B85" s="11" t="s">
        <v>165</v>
      </c>
      <c r="C85" s="11" t="s">
        <v>173</v>
      </c>
      <c r="D85" s="11" t="s">
        <v>71</v>
      </c>
      <c r="E85" s="11" t="s">
        <v>69</v>
      </c>
      <c r="F85" t="s">
        <v>301</v>
      </c>
      <c r="G85" s="8" t="s">
        <v>66</v>
      </c>
      <c r="H85" s="9" t="s">
        <v>66</v>
      </c>
      <c r="I85" s="9" t="s">
        <v>66</v>
      </c>
      <c r="J85" s="10" t="s">
        <v>66</v>
      </c>
    </row>
    <row r="86" spans="1:10" ht="27.95" customHeight="1" x14ac:dyDescent="0.25">
      <c r="A86" s="11" t="s">
        <v>164</v>
      </c>
      <c r="B86" s="11" t="s">
        <v>165</v>
      </c>
      <c r="C86" s="11" t="s">
        <v>174</v>
      </c>
      <c r="D86" s="11" t="s">
        <v>71</v>
      </c>
      <c r="E86" s="11" t="s">
        <v>69</v>
      </c>
      <c r="F86" t="s">
        <v>302</v>
      </c>
      <c r="G86" s="8" t="s">
        <v>66</v>
      </c>
      <c r="H86" s="9" t="s">
        <v>66</v>
      </c>
      <c r="I86" s="9" t="s">
        <v>66</v>
      </c>
      <c r="J86" s="10" t="s">
        <v>66</v>
      </c>
    </row>
    <row r="87" spans="1:10" ht="27.95" customHeight="1" x14ac:dyDescent="0.25">
      <c r="A87" s="11" t="s">
        <v>164</v>
      </c>
      <c r="B87" s="11" t="s">
        <v>165</v>
      </c>
      <c r="C87" s="11" t="s">
        <v>175</v>
      </c>
      <c r="D87" s="11" t="s">
        <v>71</v>
      </c>
      <c r="E87" s="11" t="s">
        <v>69</v>
      </c>
      <c r="F87" t="s">
        <v>303</v>
      </c>
      <c r="G87" s="8" t="s">
        <v>66</v>
      </c>
      <c r="H87" s="9" t="s">
        <v>66</v>
      </c>
      <c r="I87" s="9" t="s">
        <v>66</v>
      </c>
      <c r="J87" s="10" t="s">
        <v>66</v>
      </c>
    </row>
  </sheetData>
  <dataValidations count="2">
    <dataValidation type="whole" allowBlank="1" sqref="H2:H87">
      <formula1>0</formula1>
      <formula2>4</formula2>
    </dataValidation>
    <dataValidation type="list" allowBlank="1" sqref="I2:I87">
      <formula1>"V,D,R,S"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workbookViewId="0"/>
  </sheetViews>
  <sheetFormatPr baseColWidth="10" defaultColWidth="9.140625" defaultRowHeight="15" x14ac:dyDescent="0.25"/>
  <cols>
    <col min="1" max="1" width="28" customWidth="1"/>
    <col min="2" max="2" width="14" customWidth="1"/>
    <col min="3" max="3" width="10" customWidth="1"/>
    <col min="4" max="4" width="16" customWidth="1"/>
    <col min="5" max="5" width="12" customWidth="1"/>
    <col min="6" max="6" width="14" customWidth="1"/>
    <col min="7" max="7" width="16" customWidth="1"/>
  </cols>
  <sheetData>
    <row r="1" spans="1:7" x14ac:dyDescent="0.25">
      <c r="A1" s="20" t="s">
        <v>176</v>
      </c>
      <c r="B1" s="19"/>
      <c r="C1" s="19"/>
      <c r="D1" s="19"/>
      <c r="E1" s="19"/>
      <c r="F1" s="19"/>
      <c r="G1" s="19"/>
    </row>
    <row r="2" spans="1:7" ht="30" x14ac:dyDescent="0.25">
      <c r="A2" s="4" t="s">
        <v>51</v>
      </c>
      <c r="B2" s="4" t="s">
        <v>177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</row>
    <row r="3" spans="1:7" x14ac:dyDescent="0.25">
      <c r="A3" s="12" t="s">
        <v>61</v>
      </c>
      <c r="B3" s="13">
        <f>IFERROR(AVERAGEIF(DIAGNOSTICO!$A:$A,A3,DIAGNOSTICO!$H:$H),0)</f>
        <v>0</v>
      </c>
      <c r="C3" s="5">
        <v>8</v>
      </c>
      <c r="D3" s="14">
        <f t="shared" ref="D3:D16" si="0">B3*C3/100</f>
        <v>0</v>
      </c>
      <c r="E3" s="13">
        <f t="shared" ref="E3:E16" si="1">(4-B3)/4*100</f>
        <v>100</v>
      </c>
      <c r="F3" s="5">
        <f>COUNTIFS(DIAGNOSTICO!$A:$A,A3,DIAGNOSTICO!$E:$E,"SI",DIAGNOSTICO!$H:$H,"&lt;&gt;",DIAGNOSTICO!$H:$H,"&lt;2")</f>
        <v>0</v>
      </c>
      <c r="G3" s="5" t="str">
        <f t="shared" ref="G3:G16" si="2">IF(F3&gt;0,"ALERTA ROJA","OK")</f>
        <v>OK</v>
      </c>
    </row>
    <row r="4" spans="1:7" x14ac:dyDescent="0.25">
      <c r="A4" s="12" t="s">
        <v>74</v>
      </c>
      <c r="B4" s="13">
        <f>IFERROR(AVERAGEIF(DIAGNOSTICO!$A:$A,A4,DIAGNOSTICO!$H:$H),0)</f>
        <v>0</v>
      </c>
      <c r="C4" s="5">
        <v>6</v>
      </c>
      <c r="D4" s="14">
        <f t="shared" si="0"/>
        <v>0</v>
      </c>
      <c r="E4" s="13">
        <f t="shared" si="1"/>
        <v>100</v>
      </c>
      <c r="F4" s="5">
        <f>COUNTIFS(DIAGNOSTICO!$A:$A,A4,DIAGNOSTICO!$E:$E,"SI",DIAGNOSTICO!$H:$H,"&lt;&gt;",DIAGNOSTICO!$H:$H,"&lt;2")</f>
        <v>0</v>
      </c>
      <c r="G4" s="5" t="str">
        <f t="shared" si="2"/>
        <v>OK</v>
      </c>
    </row>
    <row r="5" spans="1:7" x14ac:dyDescent="0.25">
      <c r="A5" s="12" t="s">
        <v>81</v>
      </c>
      <c r="B5" s="13">
        <f>IFERROR(AVERAGEIF(DIAGNOSTICO!$A:$A,A5,DIAGNOSTICO!$H:$H),0)</f>
        <v>0</v>
      </c>
      <c r="C5" s="5">
        <v>8</v>
      </c>
      <c r="D5" s="14">
        <f t="shared" si="0"/>
        <v>0</v>
      </c>
      <c r="E5" s="13">
        <f t="shared" si="1"/>
        <v>100</v>
      </c>
      <c r="F5" s="5">
        <f>COUNTIFS(DIAGNOSTICO!$A:$A,A5,DIAGNOSTICO!$E:$E,"SI",DIAGNOSTICO!$H:$H,"&lt;&gt;",DIAGNOSTICO!$H:$H,"&lt;2")</f>
        <v>0</v>
      </c>
      <c r="G5" s="5" t="str">
        <f t="shared" si="2"/>
        <v>OK</v>
      </c>
    </row>
    <row r="6" spans="1:7" x14ac:dyDescent="0.25">
      <c r="A6" s="12" t="s">
        <v>88</v>
      </c>
      <c r="B6" s="13">
        <f>IFERROR(AVERAGEIF(DIAGNOSTICO!$A:$A,A6,DIAGNOSTICO!$H:$H),0)</f>
        <v>0</v>
      </c>
      <c r="C6" s="5">
        <v>15</v>
      </c>
      <c r="D6" s="14">
        <f t="shared" si="0"/>
        <v>0</v>
      </c>
      <c r="E6" s="13">
        <f t="shared" si="1"/>
        <v>100</v>
      </c>
      <c r="F6" s="5">
        <f>COUNTIFS(DIAGNOSTICO!$A:$A,A6,DIAGNOSTICO!$E:$E,"SI",DIAGNOSTICO!$H:$H,"&lt;&gt;",DIAGNOSTICO!$H:$H,"&lt;2")</f>
        <v>0</v>
      </c>
      <c r="G6" s="5" t="str">
        <f t="shared" si="2"/>
        <v>OK</v>
      </c>
    </row>
    <row r="7" spans="1:7" x14ac:dyDescent="0.25">
      <c r="A7" s="12" t="s">
        <v>99</v>
      </c>
      <c r="B7" s="13">
        <f>IFERROR(AVERAGEIF(DIAGNOSTICO!$A:$A,A7,DIAGNOSTICO!$H:$H),0)</f>
        <v>0</v>
      </c>
      <c r="C7" s="5">
        <v>10</v>
      </c>
      <c r="D7" s="14">
        <f t="shared" si="0"/>
        <v>0</v>
      </c>
      <c r="E7" s="13">
        <f t="shared" si="1"/>
        <v>100</v>
      </c>
      <c r="F7" s="5">
        <f>COUNTIFS(DIAGNOSTICO!$A:$A,A7,DIAGNOSTICO!$E:$E,"SI",DIAGNOSTICO!$H:$H,"&lt;&gt;",DIAGNOSTICO!$H:$H,"&lt;2")</f>
        <v>0</v>
      </c>
      <c r="G7" s="5" t="str">
        <f t="shared" si="2"/>
        <v>OK</v>
      </c>
    </row>
    <row r="8" spans="1:7" x14ac:dyDescent="0.25">
      <c r="A8" s="12" t="s">
        <v>106</v>
      </c>
      <c r="B8" s="13">
        <f>IFERROR(AVERAGEIF(DIAGNOSTICO!$A:$A,A8,DIAGNOSTICO!$H:$H),0)</f>
        <v>0</v>
      </c>
      <c r="C8" s="5">
        <v>15</v>
      </c>
      <c r="D8" s="14">
        <f t="shared" si="0"/>
        <v>0</v>
      </c>
      <c r="E8" s="13">
        <f t="shared" si="1"/>
        <v>100</v>
      </c>
      <c r="F8" s="5">
        <f>COUNTIFS(DIAGNOSTICO!$A:$A,A8,DIAGNOSTICO!$E:$E,"SI",DIAGNOSTICO!$H:$H,"&lt;&gt;",DIAGNOSTICO!$H:$H,"&lt;2")</f>
        <v>0</v>
      </c>
      <c r="G8" s="5" t="str">
        <f t="shared" si="2"/>
        <v>OK</v>
      </c>
    </row>
    <row r="9" spans="1:7" x14ac:dyDescent="0.25">
      <c r="A9" s="12" t="s">
        <v>115</v>
      </c>
      <c r="B9" s="13">
        <f>IFERROR(AVERAGEIF(DIAGNOSTICO!$A:$A,A9,DIAGNOSTICO!$H:$H),0)</f>
        <v>0</v>
      </c>
      <c r="C9" s="5">
        <v>6</v>
      </c>
      <c r="D9" s="14">
        <f t="shared" si="0"/>
        <v>0</v>
      </c>
      <c r="E9" s="13">
        <f t="shared" si="1"/>
        <v>100</v>
      </c>
      <c r="F9" s="5">
        <f>COUNTIFS(DIAGNOSTICO!$A:$A,A9,DIAGNOSTICO!$E:$E,"SI",DIAGNOSTICO!$H:$H,"&lt;&gt;",DIAGNOSTICO!$H:$H,"&lt;2")</f>
        <v>0</v>
      </c>
      <c r="G9" s="5" t="str">
        <f t="shared" si="2"/>
        <v>OK</v>
      </c>
    </row>
    <row r="10" spans="1:7" x14ac:dyDescent="0.25">
      <c r="A10" s="12" t="s">
        <v>122</v>
      </c>
      <c r="B10" s="13">
        <f>IFERROR(AVERAGEIF(DIAGNOSTICO!$A:$A,A10,DIAGNOSTICO!$H:$H),0)</f>
        <v>0</v>
      </c>
      <c r="C10" s="5">
        <v>5</v>
      </c>
      <c r="D10" s="14">
        <f t="shared" si="0"/>
        <v>0</v>
      </c>
      <c r="E10" s="13">
        <f t="shared" si="1"/>
        <v>100</v>
      </c>
      <c r="F10" s="5">
        <f>COUNTIFS(DIAGNOSTICO!$A:$A,A10,DIAGNOSTICO!$E:$E,"SI",DIAGNOSTICO!$H:$H,"&lt;&gt;",DIAGNOSTICO!$H:$H,"&lt;2")</f>
        <v>0</v>
      </c>
      <c r="G10" s="5" t="str">
        <f t="shared" si="2"/>
        <v>OK</v>
      </c>
    </row>
    <row r="11" spans="1:7" x14ac:dyDescent="0.25">
      <c r="A11" s="12" t="s">
        <v>128</v>
      </c>
      <c r="B11" s="13">
        <f>IFERROR(AVERAGEIF(DIAGNOSTICO!$A:$A,A11,DIAGNOSTICO!$H:$H),0)</f>
        <v>0</v>
      </c>
      <c r="C11" s="5">
        <v>10</v>
      </c>
      <c r="D11" s="14">
        <f t="shared" si="0"/>
        <v>0</v>
      </c>
      <c r="E11" s="13">
        <f t="shared" si="1"/>
        <v>100</v>
      </c>
      <c r="F11" s="5">
        <f>COUNTIFS(DIAGNOSTICO!$A:$A,A11,DIAGNOSTICO!$E:$E,"SI",DIAGNOSTICO!$H:$H,"&lt;&gt;",DIAGNOSTICO!$H:$H,"&lt;2")</f>
        <v>0</v>
      </c>
      <c r="G11" s="5" t="str">
        <f t="shared" si="2"/>
        <v>OK</v>
      </c>
    </row>
    <row r="12" spans="1:7" x14ac:dyDescent="0.25">
      <c r="A12" s="12" t="s">
        <v>137</v>
      </c>
      <c r="B12" s="13">
        <f>IFERROR(AVERAGEIF(DIAGNOSTICO!$A:$A,A12,DIAGNOSTICO!$H:$H),0)</f>
        <v>0</v>
      </c>
      <c r="C12" s="5">
        <v>7</v>
      </c>
      <c r="D12" s="14">
        <f t="shared" si="0"/>
        <v>0</v>
      </c>
      <c r="E12" s="13">
        <f t="shared" si="1"/>
        <v>100</v>
      </c>
      <c r="F12" s="5">
        <f>COUNTIFS(DIAGNOSTICO!$A:$A,A12,DIAGNOSTICO!$E:$E,"SI",DIAGNOSTICO!$H:$H,"&lt;&gt;",DIAGNOSTICO!$H:$H,"&lt;2")</f>
        <v>0</v>
      </c>
      <c r="G12" s="5" t="str">
        <f t="shared" si="2"/>
        <v>OK</v>
      </c>
    </row>
    <row r="13" spans="1:7" x14ac:dyDescent="0.25">
      <c r="A13" s="12" t="s">
        <v>145</v>
      </c>
      <c r="B13" s="13">
        <f>IFERROR(AVERAGEIF(DIAGNOSTICO!$A:$A,A13,DIAGNOSTICO!$H:$H),0)</f>
        <v>0</v>
      </c>
      <c r="C13" s="5">
        <v>5</v>
      </c>
      <c r="D13" s="14">
        <f t="shared" si="0"/>
        <v>0</v>
      </c>
      <c r="E13" s="13">
        <f t="shared" si="1"/>
        <v>100</v>
      </c>
      <c r="F13" s="5">
        <f>COUNTIFS(DIAGNOSTICO!$A:$A,A13,DIAGNOSTICO!$E:$E,"SI",DIAGNOSTICO!$H:$H,"&lt;&gt;",DIAGNOSTICO!$H:$H,"&lt;2")</f>
        <v>0</v>
      </c>
      <c r="G13" s="5" t="str">
        <f t="shared" si="2"/>
        <v>OK</v>
      </c>
    </row>
    <row r="14" spans="1:7" x14ac:dyDescent="0.25">
      <c r="A14" s="12" t="s">
        <v>152</v>
      </c>
      <c r="B14" s="13">
        <f>IFERROR(AVERAGEIF(DIAGNOSTICO!$A:$A,A14,DIAGNOSTICO!$H:$H),0)</f>
        <v>0</v>
      </c>
      <c r="C14" s="5">
        <v>3</v>
      </c>
      <c r="D14" s="14">
        <f t="shared" si="0"/>
        <v>0</v>
      </c>
      <c r="E14" s="13">
        <f t="shared" si="1"/>
        <v>100</v>
      </c>
      <c r="F14" s="5">
        <f>COUNTIFS(DIAGNOSTICO!$A:$A,A14,DIAGNOSTICO!$E:$E,"SI",DIAGNOSTICO!$H:$H,"&lt;&gt;",DIAGNOSTICO!$H:$H,"&lt;2")</f>
        <v>0</v>
      </c>
      <c r="G14" s="5" t="str">
        <f t="shared" si="2"/>
        <v>OK</v>
      </c>
    </row>
    <row r="15" spans="1:7" x14ac:dyDescent="0.25">
      <c r="A15" s="12" t="s">
        <v>158</v>
      </c>
      <c r="B15" s="13">
        <f>IFERROR(AVERAGEIF(DIAGNOSTICO!$A:$A,A15,DIAGNOSTICO!$H:$H),0)</f>
        <v>0</v>
      </c>
      <c r="C15" s="5">
        <v>2</v>
      </c>
      <c r="D15" s="14">
        <f t="shared" si="0"/>
        <v>0</v>
      </c>
      <c r="E15" s="13">
        <f t="shared" si="1"/>
        <v>100</v>
      </c>
      <c r="F15" s="5">
        <f>COUNTIFS(DIAGNOSTICO!$A:$A,A15,DIAGNOSTICO!$E:$E,"SI",DIAGNOSTICO!$H:$H,"&lt;&gt;",DIAGNOSTICO!$H:$H,"&lt;2")</f>
        <v>0</v>
      </c>
      <c r="G15" s="5" t="str">
        <f t="shared" si="2"/>
        <v>OK</v>
      </c>
    </row>
    <row r="16" spans="1:7" x14ac:dyDescent="0.25">
      <c r="A16" s="12" t="s">
        <v>164</v>
      </c>
      <c r="B16" s="13">
        <f>IFERROR(AVERAGEIF(DIAGNOSTICO!$A:$A,A16,DIAGNOSTICO!$H:$H),0)</f>
        <v>0</v>
      </c>
      <c r="C16" s="5">
        <v>10</v>
      </c>
      <c r="D16" s="14">
        <f t="shared" si="0"/>
        <v>0</v>
      </c>
      <c r="E16" s="13">
        <f t="shared" si="1"/>
        <v>100</v>
      </c>
      <c r="F16" s="5">
        <f>COUNTIFS(DIAGNOSTICO!$A:$A,A16,DIAGNOSTICO!$E:$E,"SI",DIAGNOSTICO!$H:$H,"&lt;&gt;",DIAGNOSTICO!$H:$H,"&lt;2")</f>
        <v>0</v>
      </c>
      <c r="G16" s="5" t="str">
        <f t="shared" si="2"/>
        <v>OK</v>
      </c>
    </row>
    <row r="19" spans="1:2" x14ac:dyDescent="0.25">
      <c r="A19" s="1" t="s">
        <v>183</v>
      </c>
      <c r="B19" s="1" t="s">
        <v>184</v>
      </c>
    </row>
    <row r="20" spans="1:2" x14ac:dyDescent="0.25">
      <c r="A20" s="15" t="s">
        <v>185</v>
      </c>
      <c r="B20" s="5">
        <f>COUNT(DIAGNOSTICO!$H:$H)</f>
        <v>0</v>
      </c>
    </row>
    <row r="21" spans="1:2" x14ac:dyDescent="0.25">
      <c r="A21" s="15" t="s">
        <v>186</v>
      </c>
      <c r="B21" s="13">
        <f>ROUND(B20/86*100,1)</f>
        <v>0</v>
      </c>
    </row>
    <row r="22" spans="1:2" x14ac:dyDescent="0.25">
      <c r="A22" s="15" t="s">
        <v>187</v>
      </c>
      <c r="B22" s="13">
        <f>SUM(F3:F16)</f>
        <v>0</v>
      </c>
    </row>
    <row r="23" spans="1:2" x14ac:dyDescent="0.25">
      <c r="A23" s="15" t="s">
        <v>188</v>
      </c>
      <c r="B23" s="13">
        <f>SUM(D3:D16)</f>
        <v>0</v>
      </c>
    </row>
    <row r="24" spans="1:2" x14ac:dyDescent="0.25">
      <c r="A24" s="15" t="s">
        <v>189</v>
      </c>
      <c r="B24" s="13">
        <f>ROUND(B23/4*100,1)</f>
        <v>0</v>
      </c>
    </row>
    <row r="25" spans="1:2" x14ac:dyDescent="0.25">
      <c r="A25" s="15" t="s">
        <v>190</v>
      </c>
      <c r="B25" s="13">
        <f>IF(B22=0,B24,IF(B22&lt;=2,B24*0.95,IF(B22&lt;=5,B24*0.9,B24*0.85)))</f>
        <v>0</v>
      </c>
    </row>
    <row r="26" spans="1:2" x14ac:dyDescent="0.25">
      <c r="A26" s="15" t="s">
        <v>191</v>
      </c>
      <c r="B26" s="5" t="str">
        <f>IF(B20=0,"Sin datos",IF(B25&lt;25,"Crítico",IF(B25&lt;50,"Básico",IF(B25&lt;70,"Intermedio",IF(B25&lt;85,"Controlado","Robusto")))))</f>
        <v>Sin datos</v>
      </c>
    </row>
    <row r="27" spans="1:2" x14ac:dyDescent="0.25">
      <c r="A27" s="15" t="s">
        <v>192</v>
      </c>
      <c r="B27" s="5" t="str">
        <f>IF(B20=0,"Pendiente",IF(B25&lt;50,"Riesgo Alto",IF(B25&lt;70,"Riesgo Medio","Controlado")))</f>
        <v>Pendiente</v>
      </c>
    </row>
  </sheetData>
  <mergeCells count="1">
    <mergeCell ref="A1:G1"/>
  </mergeCells>
  <conditionalFormatting sqref="B3:B16">
    <cfRule type="colorScale" priority="1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conditionalFormatting sqref="E3:E16">
    <cfRule type="colorScale" priority="2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conditionalFormatting sqref="F3:F16">
    <cfRule type="cellIs" dxfId="0" priority="3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workbookViewId="0"/>
  </sheetViews>
  <sheetFormatPr baseColWidth="10" defaultColWidth="9.140625" defaultRowHeight="15" x14ac:dyDescent="0.25"/>
  <cols>
    <col min="1" max="1" width="16" customWidth="1"/>
    <col min="2" max="2" width="14" customWidth="1"/>
    <col min="3" max="3" width="12" customWidth="1"/>
    <col min="4" max="5" width="16" customWidth="1"/>
    <col min="6" max="6" width="3" customWidth="1"/>
    <col min="7" max="10" width="16" customWidth="1"/>
  </cols>
  <sheetData>
    <row r="1" spans="1:10" ht="18.75" x14ac:dyDescent="0.25">
      <c r="A1" s="24" t="s">
        <v>193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6" t="s">
        <v>190</v>
      </c>
      <c r="D2" s="16" t="s">
        <v>191</v>
      </c>
      <c r="G2" s="16" t="s">
        <v>194</v>
      </c>
      <c r="J2" s="16" t="s">
        <v>192</v>
      </c>
    </row>
    <row r="3" spans="1:10" x14ac:dyDescent="0.25">
      <c r="A3" s="25">
        <f>'SCORING Y RESULTADOS'!B25</f>
        <v>0</v>
      </c>
      <c r="B3" s="19"/>
      <c r="D3" s="27" t="str">
        <f>'SCORING Y RESULTADOS'!B26</f>
        <v>Sin datos</v>
      </c>
      <c r="E3" s="19"/>
      <c r="G3" s="22">
        <f>'SCORING Y RESULTADOS'!B22</f>
        <v>0</v>
      </c>
      <c r="H3" s="19"/>
      <c r="J3" s="28" t="str">
        <f>'SCORING Y RESULTADOS'!B27</f>
        <v>Pendiente</v>
      </c>
    </row>
    <row r="4" spans="1:10" x14ac:dyDescent="0.25">
      <c r="A4" s="19"/>
      <c r="B4" s="19"/>
      <c r="D4" s="19"/>
      <c r="E4" s="19"/>
      <c r="G4" s="19"/>
      <c r="H4" s="19"/>
      <c r="J4" s="19"/>
    </row>
    <row r="5" spans="1:10" x14ac:dyDescent="0.25">
      <c r="A5" s="23"/>
      <c r="B5" s="23"/>
      <c r="D5" s="23"/>
      <c r="E5" s="23"/>
      <c r="G5" s="23"/>
      <c r="H5" s="23"/>
      <c r="J5" s="23"/>
    </row>
    <row r="22" spans="1:3" x14ac:dyDescent="0.25">
      <c r="A22" s="16" t="s">
        <v>51</v>
      </c>
      <c r="B22" s="16" t="s">
        <v>195</v>
      </c>
      <c r="C22" s="16" t="s">
        <v>180</v>
      </c>
    </row>
    <row r="23" spans="1:3" x14ac:dyDescent="0.25">
      <c r="A23" t="str">
        <f>'SCORING Y RESULTADOS'!A3</f>
        <v>Dirección y Estrategia</v>
      </c>
      <c r="B23" s="17">
        <f>'SCORING Y RESULTADOS'!B3</f>
        <v>0</v>
      </c>
      <c r="C23" s="17">
        <f>'SCORING Y RESULTADOS'!E3</f>
        <v>100</v>
      </c>
    </row>
    <row r="24" spans="1:3" x14ac:dyDescent="0.25">
      <c r="A24" t="str">
        <f>'SCORING Y RESULTADOS'!A4</f>
        <v>Organización</v>
      </c>
      <c r="B24" s="17">
        <f>'SCORING Y RESULTADOS'!B4</f>
        <v>0</v>
      </c>
      <c r="C24" s="17">
        <f>'SCORING Y RESULTADOS'!E4</f>
        <v>100</v>
      </c>
    </row>
    <row r="25" spans="1:3" x14ac:dyDescent="0.25">
      <c r="A25" t="str">
        <f>'SCORING Y RESULTADOS'!A5</f>
        <v>Mapa de Procesos</v>
      </c>
      <c r="B25" s="17">
        <f>'SCORING Y RESULTADOS'!B5</f>
        <v>0</v>
      </c>
      <c r="C25" s="17">
        <f>'SCORING Y RESULTADOS'!E5</f>
        <v>100</v>
      </c>
    </row>
    <row r="26" spans="1:3" x14ac:dyDescent="0.25">
      <c r="A26" t="str">
        <f>'SCORING Y RESULTADOS'!A6</f>
        <v>Producción</v>
      </c>
      <c r="B26" s="17">
        <f>'SCORING Y RESULTADOS'!B6</f>
        <v>0</v>
      </c>
      <c r="C26" s="17">
        <f>'SCORING Y RESULTADOS'!E6</f>
        <v>100</v>
      </c>
    </row>
    <row r="27" spans="1:3" x14ac:dyDescent="0.25">
      <c r="A27" t="str">
        <f>'SCORING Y RESULTADOS'!A7</f>
        <v>Mantenimiento</v>
      </c>
      <c r="B27" s="17">
        <f>'SCORING Y RESULTADOS'!B7</f>
        <v>0</v>
      </c>
      <c r="C27" s="17">
        <f>'SCORING Y RESULTADOS'!E7</f>
        <v>100</v>
      </c>
    </row>
    <row r="28" spans="1:3" x14ac:dyDescent="0.25">
      <c r="A28" t="str">
        <f>'SCORING Y RESULTADOS'!A8</f>
        <v>Calidad</v>
      </c>
      <c r="B28" s="17">
        <f>'SCORING Y RESULTADOS'!B8</f>
        <v>0</v>
      </c>
      <c r="C28" s="17">
        <f>'SCORING Y RESULTADOS'!E8</f>
        <v>100</v>
      </c>
    </row>
    <row r="29" spans="1:3" x14ac:dyDescent="0.25">
      <c r="A29" t="str">
        <f>'SCORING Y RESULTADOS'!A9</f>
        <v>Compras</v>
      </c>
      <c r="B29" s="17">
        <f>'SCORING Y RESULTADOS'!B9</f>
        <v>0</v>
      </c>
      <c r="C29" s="17">
        <f>'SCORING Y RESULTADOS'!E9</f>
        <v>100</v>
      </c>
    </row>
    <row r="30" spans="1:3" x14ac:dyDescent="0.25">
      <c r="A30" t="str">
        <f>'SCORING Y RESULTADOS'!A10</f>
        <v>Comercial</v>
      </c>
      <c r="B30" s="17">
        <f>'SCORING Y RESULTADOS'!B10</f>
        <v>0</v>
      </c>
      <c r="C30" s="17">
        <f>'SCORING Y RESULTADOS'!E10</f>
        <v>100</v>
      </c>
    </row>
    <row r="31" spans="1:3" x14ac:dyDescent="0.25">
      <c r="A31" t="str">
        <f>'SCORING Y RESULTADOS'!A11</f>
        <v>Finanzas</v>
      </c>
      <c r="B31" s="17">
        <f>'SCORING Y RESULTADOS'!B11</f>
        <v>0</v>
      </c>
      <c r="C31" s="17">
        <f>'SCORING Y RESULTADOS'!E11</f>
        <v>100</v>
      </c>
    </row>
    <row r="32" spans="1:3" x14ac:dyDescent="0.25">
      <c r="A32" t="str">
        <f>'SCORING Y RESULTADOS'!A12</f>
        <v>Seguridad y Salud</v>
      </c>
      <c r="B32" s="17">
        <f>'SCORING Y RESULTADOS'!B12</f>
        <v>0</v>
      </c>
      <c r="C32" s="17">
        <f>'SCORING Y RESULTADOS'!E12</f>
        <v>100</v>
      </c>
    </row>
    <row r="33" spans="1:10" x14ac:dyDescent="0.25">
      <c r="A33" t="str">
        <f>'SCORING Y RESULTADOS'!A13</f>
        <v>Ambiental</v>
      </c>
      <c r="B33" s="17">
        <f>'SCORING Y RESULTADOS'!B13</f>
        <v>0</v>
      </c>
      <c r="C33" s="17">
        <f>'SCORING Y RESULTADOS'!E13</f>
        <v>100</v>
      </c>
    </row>
    <row r="34" spans="1:10" x14ac:dyDescent="0.25">
      <c r="A34" t="str">
        <f>'SCORING Y RESULTADOS'!A14</f>
        <v>Riesgos y Continuidad</v>
      </c>
      <c r="B34" s="17">
        <f>'SCORING Y RESULTADOS'!B14</f>
        <v>0</v>
      </c>
      <c r="C34" s="17">
        <f>'SCORING Y RESULTADOS'!E14</f>
        <v>100</v>
      </c>
    </row>
    <row r="35" spans="1:10" x14ac:dyDescent="0.25">
      <c r="A35" t="str">
        <f>'SCORING Y RESULTADOS'!A15</f>
        <v>Cultura y Madurez</v>
      </c>
      <c r="B35" s="17">
        <f>'SCORING Y RESULTADOS'!B15</f>
        <v>0</v>
      </c>
      <c r="C35" s="17">
        <f>'SCORING Y RESULTADOS'!E15</f>
        <v>100</v>
      </c>
    </row>
    <row r="36" spans="1:10" x14ac:dyDescent="0.25">
      <c r="A36" t="str">
        <f>'SCORING Y RESULTADOS'!A16</f>
        <v>Logística y Almacenes</v>
      </c>
      <c r="B36" s="17">
        <f>'SCORING Y RESULTADOS'!B16</f>
        <v>0</v>
      </c>
      <c r="C36" s="17">
        <f>'SCORING Y RESULTADOS'!E16</f>
        <v>100</v>
      </c>
    </row>
    <row r="38" spans="1:10" x14ac:dyDescent="0.25">
      <c r="A38" s="18" t="s">
        <v>196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0" ht="24" customHeight="1" x14ac:dyDescent="0.25">
      <c r="A39" s="29" t="str">
        <f>IF('SCORING Y RESULTADOS'!B20=0,"Pendiente de carga: completar puntajes en la hoja DIAGNOSTICO para habilitar el resultado ejecutivo.",IF('SCORING Y RESULTADOS'!B25&lt;50,"La organización presenta un nivel de madurez bajo, con riesgos estructurales significativos y " &amp; 'SCORING Y RESULTADOS'!B22 &amp; " áreas críticas que requieren intervención prioritaria.",IF('SCORING Y RESULTADOS'!B25&lt;70,"La organización posee una base de gestión definida, aunque presenta oportunidades relevantes de mejora y " &amp; 'SCORING Y RESULTADOS'!B22 &amp; " riesgos críticos que impactan su estabilidad operativa.",IF('SCORING Y RESULTADOS'!B25&lt;85,"La organización se encuentra en un nivel controlado, con estructura funcional y oportunidades puntuales de optimización.","La organización presenta un sistema robusto y controlado, con oportunidades de mejora estratégica."))))</f>
        <v>Pendiente de carga: completar puntajes en la hoja DIAGNOSTICO para habilitar el resultado ejecutivo.</v>
      </c>
      <c r="B39" s="19"/>
      <c r="C39" s="19"/>
      <c r="D39" s="19"/>
      <c r="E39" s="19"/>
      <c r="F39" s="19"/>
      <c r="G39" s="19"/>
      <c r="H39" s="19"/>
      <c r="I39" s="19"/>
      <c r="J39" s="19"/>
    </row>
    <row r="40" spans="1:10" ht="24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spans="1:10" ht="24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spans="1:10" ht="24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4" spans="1:10" x14ac:dyDescent="0.25">
      <c r="A44" s="21" t="s">
        <v>197</v>
      </c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5">
      <c r="A45" s="26" t="s">
        <v>66</v>
      </c>
      <c r="B45" s="19"/>
      <c r="C45" s="19"/>
      <c r="D45" s="19"/>
      <c r="E45" s="19"/>
      <c r="F45" s="19"/>
      <c r="G45" s="19"/>
      <c r="H45" s="19"/>
      <c r="I45" s="19"/>
      <c r="J45" s="19"/>
    </row>
    <row r="46" spans="1:10" x14ac:dyDescent="0.25">
      <c r="A46" s="26" t="s">
        <v>66</v>
      </c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25">
      <c r="A47" s="26" t="s">
        <v>66</v>
      </c>
      <c r="B47" s="19"/>
      <c r="C47" s="19"/>
      <c r="D47" s="19"/>
      <c r="E47" s="19"/>
      <c r="F47" s="19"/>
      <c r="G47" s="19"/>
      <c r="H47" s="19"/>
      <c r="I47" s="19"/>
      <c r="J47" s="19"/>
    </row>
  </sheetData>
  <mergeCells count="11">
    <mergeCell ref="A46:J46"/>
    <mergeCell ref="A47:J47"/>
    <mergeCell ref="D3:E5"/>
    <mergeCell ref="J3:J5"/>
    <mergeCell ref="A38:J38"/>
    <mergeCell ref="A39:J42"/>
    <mergeCell ref="A44:J44"/>
    <mergeCell ref="G3:H5"/>
    <mergeCell ref="A1:J1"/>
    <mergeCell ref="A3:B5"/>
    <mergeCell ref="A45:J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workbookViewId="0"/>
  </sheetViews>
  <sheetFormatPr baseColWidth="10" defaultColWidth="9.140625" defaultRowHeight="15" x14ac:dyDescent="0.25"/>
  <cols>
    <col min="1" max="2" width="18" customWidth="1"/>
    <col min="3" max="3" width="36" customWidth="1"/>
    <col min="4" max="6" width="34" customWidth="1"/>
    <col min="7" max="7" width="24" customWidth="1"/>
  </cols>
  <sheetData>
    <row r="1" spans="1:7" ht="30" x14ac:dyDescent="0.25">
      <c r="A1" s="6" t="s">
        <v>14</v>
      </c>
      <c r="B1" s="6" t="s">
        <v>15</v>
      </c>
      <c r="C1" s="6" t="s">
        <v>198</v>
      </c>
      <c r="D1" s="6" t="s">
        <v>17</v>
      </c>
      <c r="E1" s="6" t="s">
        <v>18</v>
      </c>
      <c r="F1" s="6" t="s">
        <v>19</v>
      </c>
      <c r="G1" s="6" t="s">
        <v>199</v>
      </c>
    </row>
    <row r="2" spans="1:7" x14ac:dyDescent="0.25">
      <c r="A2">
        <v>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25">
      <c r="A3">
        <v>1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</row>
    <row r="4" spans="1:7" x14ac:dyDescent="0.25">
      <c r="A4">
        <v>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</row>
    <row r="5" spans="1:7" x14ac:dyDescent="0.25">
      <c r="A5">
        <v>3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</row>
    <row r="6" spans="1:7" x14ac:dyDescent="0.25">
      <c r="A6">
        <v>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</row>
    <row r="8" spans="1:7" ht="30" x14ac:dyDescent="0.25">
      <c r="A8" s="4" t="s">
        <v>200</v>
      </c>
      <c r="B8" s="4" t="s">
        <v>201</v>
      </c>
      <c r="C8" s="4" t="s">
        <v>202</v>
      </c>
    </row>
    <row r="9" spans="1:7" x14ac:dyDescent="0.25">
      <c r="A9" s="5">
        <v>0</v>
      </c>
      <c r="B9" s="5" t="s">
        <v>203</v>
      </c>
      <c r="C9" s="3" t="s">
        <v>204</v>
      </c>
    </row>
    <row r="10" spans="1:7" x14ac:dyDescent="0.25">
      <c r="A10" s="5">
        <v>1</v>
      </c>
      <c r="B10" s="5" t="s">
        <v>32</v>
      </c>
      <c r="C10" s="3" t="s">
        <v>205</v>
      </c>
    </row>
    <row r="11" spans="1:7" x14ac:dyDescent="0.25">
      <c r="A11" s="5">
        <v>2</v>
      </c>
      <c r="B11" s="5" t="s">
        <v>38</v>
      </c>
      <c r="C11" s="3" t="s">
        <v>206</v>
      </c>
    </row>
    <row r="12" spans="1:7" x14ac:dyDescent="0.25">
      <c r="A12" s="5">
        <v>3</v>
      </c>
      <c r="B12" s="5" t="s">
        <v>207</v>
      </c>
      <c r="C12" s="3" t="s">
        <v>208</v>
      </c>
    </row>
    <row r="13" spans="1:7" x14ac:dyDescent="0.25">
      <c r="A13" s="5">
        <v>4</v>
      </c>
      <c r="B13" s="5" t="s">
        <v>209</v>
      </c>
      <c r="C13" s="3" t="s">
        <v>210</v>
      </c>
    </row>
    <row r="15" spans="1:7" ht="30" x14ac:dyDescent="0.25">
      <c r="A15" s="4" t="s">
        <v>211</v>
      </c>
      <c r="B15" s="4" t="s">
        <v>212</v>
      </c>
      <c r="C15" s="4" t="s">
        <v>213</v>
      </c>
    </row>
    <row r="16" spans="1:7" x14ac:dyDescent="0.25">
      <c r="A16" s="5" t="s">
        <v>214</v>
      </c>
      <c r="B16" s="5" t="s">
        <v>215</v>
      </c>
      <c r="C16" s="3" t="s">
        <v>216</v>
      </c>
    </row>
    <row r="17" spans="1:3" x14ac:dyDescent="0.25">
      <c r="A17" s="5" t="s">
        <v>217</v>
      </c>
      <c r="B17" s="5" t="s">
        <v>218</v>
      </c>
      <c r="C17" s="3" t="s">
        <v>219</v>
      </c>
    </row>
    <row r="18" spans="1:3" ht="30" x14ac:dyDescent="0.25">
      <c r="A18" s="5" t="s">
        <v>220</v>
      </c>
      <c r="B18" s="5" t="s">
        <v>221</v>
      </c>
      <c r="C18" s="3" t="s">
        <v>222</v>
      </c>
    </row>
    <row r="19" spans="1:3" x14ac:dyDescent="0.25">
      <c r="A19" s="5" t="s">
        <v>223</v>
      </c>
      <c r="B19" s="5" t="s">
        <v>207</v>
      </c>
      <c r="C19" s="3" t="s">
        <v>224</v>
      </c>
    </row>
    <row r="20" spans="1:3" x14ac:dyDescent="0.25">
      <c r="A20" s="5" t="s">
        <v>225</v>
      </c>
      <c r="B20" s="5" t="s">
        <v>226</v>
      </c>
      <c r="C20" s="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DIAGNOSTICO</vt:lpstr>
      <vt:lpstr>SCORING Y RESULTADOS</vt:lpstr>
      <vt:lpstr>DASHBOARD</vt:lpstr>
      <vt:lpstr>CRITERIOS DE 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Capacitaciones</dc:creator>
  <cp:lastModifiedBy>RRHH</cp:lastModifiedBy>
  <dcterms:created xsi:type="dcterms:W3CDTF">2026-04-06T15:36:04Z</dcterms:created>
  <dcterms:modified xsi:type="dcterms:W3CDTF">2026-04-06T15:36:04Z</dcterms:modified>
</cp:coreProperties>
</file>